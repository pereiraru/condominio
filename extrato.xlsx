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ipereira/Documents/Claude/projects/condominio/"/>
    </mc:Choice>
  </mc:AlternateContent>
  <xr:revisionPtr revIDLastSave="0" documentId="8_{9F5878E7-5A26-D94E-AB45-681EB1FB74FE}" xr6:coauthVersionLast="47" xr6:coauthVersionMax="47" xr10:uidLastSave="{00000000-0000-0000-0000-000000000000}"/>
  <bookViews>
    <workbookView xWindow="1500" yWindow="1400" windowWidth="27640" windowHeight="16680" xr2:uid="{D14CF287-7BE9-974F-B1D6-B20A676B09F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5" i="1" l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<sst xmlns="http://schemas.openxmlformats.org/spreadsheetml/2006/main" count="803" uniqueCount="390">
  <si>
    <t>Data Mov.</t>
  </si>
  <si>
    <t>Data Valor</t>
  </si>
  <si>
    <t>Descrição</t>
  </si>
  <si>
    <t>Importância</t>
  </si>
  <si>
    <t>Saldo Cont.</t>
  </si>
  <si>
    <t>Andar</t>
  </si>
  <si>
    <t>EMISSÃO EXTR. CONTA-2023-12-31</t>
  </si>
  <si>
    <t>1.193.54</t>
  </si>
  <si>
    <t>I.SELO OP.BANC. -2023-12-31</t>
  </si>
  <si>
    <t>1.193.50</t>
  </si>
  <si>
    <t>TRF. P/ DP NR. 027-15.010650-1</t>
  </si>
  <si>
    <t>1.133.50</t>
  </si>
  <si>
    <t>TR-JOAO MANUEL BORGES GUERRA</t>
  </si>
  <si>
    <t>1.171.00</t>
  </si>
  <si>
    <t>TR-FERNANDO JORGE DOS SANTOS</t>
  </si>
  <si>
    <t>1.208.50</t>
  </si>
  <si>
    <t>TR-MIGUEL ALEXANDRE SCATOLA PR</t>
  </si>
  <si>
    <t>1.283.50</t>
  </si>
  <si>
    <t>TR-MARTA RIBEIRO PEREIRA</t>
  </si>
  <si>
    <t>1.182.26</t>
  </si>
  <si>
    <t>COMISS. EXTRATO NET24</t>
  </si>
  <si>
    <t>1.320.00</t>
  </si>
  <si>
    <t>IMP.SELO S/OP.BANCARIAS</t>
  </si>
  <si>
    <t>1.319.96</t>
  </si>
  <si>
    <t>SP-30003908685 ENDESA ENERGIA</t>
  </si>
  <si>
    <t>1.210.88</t>
  </si>
  <si>
    <t>TRF.DE MARISIA CONCEIÇÃO QUINT</t>
  </si>
  <si>
    <t>1.260.88</t>
  </si>
  <si>
    <t>TRF.DE HUGO TAVARES MARTINS</t>
  </si>
  <si>
    <t>1.298.38</t>
  </si>
  <si>
    <t>TRF.CRED M FERNANDA PINTO</t>
  </si>
  <si>
    <t>1.335.88</t>
  </si>
  <si>
    <t>TR-ANTONIO JOAO ANJOS JUSTINO</t>
  </si>
  <si>
    <t>1.373.38</t>
  </si>
  <si>
    <t>LEV.ATM 8887</t>
  </si>
  <si>
    <t>1.173.38</t>
  </si>
  <si>
    <t>SP-00000269196 OTIS-ELEVADORES</t>
  </si>
  <si>
    <t>SOLUÇÃO E.CONDOMÍNIO</t>
  </si>
  <si>
    <t>I.S. COM. MAN. CTA PACOTE</t>
  </si>
  <si>
    <t>TRF.CRED MANUELA SILVA</t>
  </si>
  <si>
    <t>PAG.SERV. 10550 209827074</t>
  </si>
  <si>
    <t>TR-CATIA ANDREIA BASTOS MORAIS</t>
  </si>
  <si>
    <t>TRF.DE MARIA ISABEL SANTOS MEL</t>
  </si>
  <si>
    <t>TRF. LUÍS ANTÓNIO CAEIRO DIAS</t>
  </si>
  <si>
    <t>EMISSÃO EXTR. CONTA-2024-01-31</t>
  </si>
  <si>
    <t>I.SELO OP.BANC. -2024-01-31</t>
  </si>
  <si>
    <t>TR-CLAUDIA RUTE NUNES CARRICO</t>
  </si>
  <si>
    <t>PAG.SERV. 10550 210022723</t>
  </si>
  <si>
    <t>PAG.SERV. 20624 514243599</t>
  </si>
  <si>
    <t>PAG.SERV. 20624 514243600</t>
  </si>
  <si>
    <t>PAG.SERV. 11873 260067092</t>
  </si>
  <si>
    <t>TRF.IPS P/ JCSS UNIPESSOAL</t>
  </si>
  <si>
    <t>EMISSÃO EXTR. CONTA-2024-02-29</t>
  </si>
  <si>
    <t>I.SELO OP.BANC. -2024-02-29</t>
  </si>
  <si>
    <t>EMISSÃO EXTR. CONTA-2024-03-31</t>
  </si>
  <si>
    <t>I.SELO OP.BANC. -2024-03-31</t>
  </si>
  <si>
    <t>1.185.40</t>
  </si>
  <si>
    <t>TR-EDMUNDO FRANCISCO REBELO SI</t>
  </si>
  <si>
    <t>EMISSÃO EXTR. CONTA-2024-04-30</t>
  </si>
  <si>
    <t>I.SELO OP.BANC. -2024-04-30</t>
  </si>
  <si>
    <t>1.059.09</t>
  </si>
  <si>
    <t>TRF.DE PEDRO MIGUEL REBELO SIL</t>
  </si>
  <si>
    <t>TR-CESAR DAVID SANTOS SA</t>
  </si>
  <si>
    <t>TR-IPS-EDMUNDO FRANCISCO REBEL</t>
  </si>
  <si>
    <t>EMISSÃO EXTR. CONTA-2024-05-31</t>
  </si>
  <si>
    <t>I.SELO OP.BANC. -2024-05-31</t>
  </si>
  <si>
    <t>TRF.DE LUÍS ANTÓNIO CAEIRO DIA</t>
  </si>
  <si>
    <t>1.085.83</t>
  </si>
  <si>
    <t>EMISSÃO EXTR. CONTA-2024-06-30</t>
  </si>
  <si>
    <t>I.SELO OP.BANC. -2024-06-30</t>
  </si>
  <si>
    <t>1.817.84</t>
  </si>
  <si>
    <t>1.034,03</t>
  </si>
  <si>
    <t>EMISSÃO EXTR. CONTA-2024-08-31</t>
  </si>
  <si>
    <t>I.SELO OP.BANC. -2024-08-31</t>
  </si>
  <si>
    <t>1.741.72</t>
  </si>
  <si>
    <t>1.034.14</t>
  </si>
  <si>
    <t>1.079.14</t>
  </si>
  <si>
    <t>TR-NEIDE PATRICIA HENRIQUES SO</t>
  </si>
  <si>
    <t>1.124.14</t>
  </si>
  <si>
    <t>1.169.14</t>
  </si>
  <si>
    <t>1.007.82</t>
  </si>
  <si>
    <t>1.000.82</t>
  </si>
  <si>
    <t>1.000.54</t>
  </si>
  <si>
    <t>1.020.54</t>
  </si>
  <si>
    <t>1.065.54</t>
  </si>
  <si>
    <t>1.110.54</t>
  </si>
  <si>
    <t>1.155.54</t>
  </si>
  <si>
    <t>EMISSÃO EXTR. CONTA-2024-09-30</t>
  </si>
  <si>
    <t>1.154.54</t>
  </si>
  <si>
    <t>I.SELO OP.BANC. -2024-09-30</t>
  </si>
  <si>
    <t>1.154.50</t>
  </si>
  <si>
    <t>1.094.50</t>
  </si>
  <si>
    <t>1.493.08</t>
  </si>
  <si>
    <t>1.039.76</t>
  </si>
  <si>
    <t>1.089.76</t>
  </si>
  <si>
    <t>1.134.76</t>
  </si>
  <si>
    <t>1.179.76</t>
  </si>
  <si>
    <t>1.224.76</t>
  </si>
  <si>
    <t>1.018.44</t>
  </si>
  <si>
    <t>1.063.44</t>
  </si>
  <si>
    <t>1.056.44</t>
  </si>
  <si>
    <t>1.056.16</t>
  </si>
  <si>
    <t>PAG.SERV. 21235 013324947</t>
  </si>
  <si>
    <t>TR-CESAR DAVID DOS SANTOS DE S</t>
  </si>
  <si>
    <t>EMISSÃO EXTR. CONTA-2024-10-31</t>
  </si>
  <si>
    <t>I.SELO OP.BANC. -2024-10-31</t>
  </si>
  <si>
    <t>TR-CL UDIA RUTE NUNES CARRIÃO</t>
  </si>
  <si>
    <t>1.409.64</t>
  </si>
  <si>
    <t>1.454.64</t>
  </si>
  <si>
    <t>1.504.64</t>
  </si>
  <si>
    <t>1.549.64</t>
  </si>
  <si>
    <t>1.594.64</t>
  </si>
  <si>
    <t>1.236.96</t>
  </si>
  <si>
    <t>1.729.64</t>
  </si>
  <si>
    <t>1.774.64</t>
  </si>
  <si>
    <t>EMISSÃO EXTR. CONTA-2024-07-31</t>
  </si>
  <si>
    <t>I.SELO OP.BANC. -2024-07-31</t>
  </si>
  <si>
    <t>1.433.79</t>
  </si>
  <si>
    <t>1.034.15</t>
  </si>
  <si>
    <t>1.019.34</t>
  </si>
  <si>
    <t>1.773,64</t>
  </si>
  <si>
    <t>1.773,60</t>
  </si>
  <si>
    <t>1.554,68</t>
  </si>
  <si>
    <t>1.599,68</t>
  </si>
  <si>
    <t>1.592,68</t>
  </si>
  <si>
    <t>1.592,40</t>
  </si>
  <si>
    <t>1.637,40</t>
  </si>
  <si>
    <t>1.682,40</t>
  </si>
  <si>
    <t>EMISSÃO EXTR. CONTA-2024-11-30</t>
  </si>
  <si>
    <t>1.681,40</t>
  </si>
  <si>
    <t>I.SELO OP.BANC. -2024-11-30</t>
  </si>
  <si>
    <t>1.681,36</t>
  </si>
  <si>
    <t>1.621,36</t>
  </si>
  <si>
    <t>1.477,63</t>
  </si>
  <si>
    <t>1.522,63</t>
  </si>
  <si>
    <t>1.567,63</t>
  </si>
  <si>
    <t>1.274.73</t>
  </si>
  <si>
    <t>1.657,63</t>
  </si>
  <si>
    <t>1.707,63</t>
  </si>
  <si>
    <t>1.752,63</t>
  </si>
  <si>
    <t>1.797,63</t>
  </si>
  <si>
    <t>1.842,63</t>
  </si>
  <si>
    <t>1.623,71</t>
  </si>
  <si>
    <t>1.616,71</t>
  </si>
  <si>
    <t>1.616,43</t>
  </si>
  <si>
    <t>TRF.P/ JOSE NICOLE,LDA</t>
  </si>
  <si>
    <t>1.417,78</t>
  </si>
  <si>
    <t>TRF.IPS P/ FABIO HENRIQUE PEI</t>
  </si>
  <si>
    <t>1.277,78</t>
  </si>
  <si>
    <t>TR-MANUEL ROCHA RODRIGUES</t>
  </si>
  <si>
    <t>1.727,78</t>
  </si>
  <si>
    <t>1.772,78</t>
  </si>
  <si>
    <t>1.817,78</t>
  </si>
  <si>
    <t>EMISSÃO EXTR. CONTA-2024-12-31</t>
  </si>
  <si>
    <t>1.816,78</t>
  </si>
  <si>
    <t>I.SELO OP.BANC. -2024-12-31</t>
  </si>
  <si>
    <t>1.816,74</t>
  </si>
  <si>
    <t>1.756,74</t>
  </si>
  <si>
    <t>1.801,74</t>
  </si>
  <si>
    <t>1.650,15</t>
  </si>
  <si>
    <t>TR-IPS-CARLOS ALBERTO SILVA DI</t>
  </si>
  <si>
    <t>1.695,15</t>
  </si>
  <si>
    <t>1.740,15</t>
  </si>
  <si>
    <t>1.790,15</t>
  </si>
  <si>
    <t>1.835,15</t>
  </si>
  <si>
    <t>1.880,15</t>
  </si>
  <si>
    <t>1.925,15</t>
  </si>
  <si>
    <t>1.970,15</t>
  </si>
  <si>
    <t>TR-IPS-MARIA MANUELA FERREIRA</t>
  </si>
  <si>
    <t>2.015,15</t>
  </si>
  <si>
    <t>TR-IPS-CATIA ANDREIA BASTOS MO</t>
  </si>
  <si>
    <t>2.035,15</t>
  </si>
  <si>
    <t>1.816.23</t>
  </si>
  <si>
    <t>TRF.IPS P/ RUI MIGUEL REDOL P</t>
  </si>
  <si>
    <t>1.000.95</t>
  </si>
  <si>
    <t>1.045.95</t>
  </si>
  <si>
    <t>EMISSÃO EXTR. CONTA-2025-01-31</t>
  </si>
  <si>
    <t>I.SELO OP.BANC. -2025-01-31</t>
  </si>
  <si>
    <t>TR-IPS-MIGUEL ALEXANDRE SCATOL</t>
  </si>
  <si>
    <t>1.044.73</t>
  </si>
  <si>
    <t>1.089.73</t>
  </si>
  <si>
    <t>1.134.73</t>
  </si>
  <si>
    <t>1.184.73</t>
  </si>
  <si>
    <t>1.229.73</t>
  </si>
  <si>
    <t>1.612,63</t>
  </si>
  <si>
    <t>1.319.73</t>
  </si>
  <si>
    <t>1.100.81</t>
  </si>
  <si>
    <t>1.145.81</t>
  </si>
  <si>
    <t>1.138.81</t>
  </si>
  <si>
    <t>1.138.53</t>
  </si>
  <si>
    <t>1.158.53</t>
  </si>
  <si>
    <t>1.203.53</t>
  </si>
  <si>
    <t>1.044.83</t>
  </si>
  <si>
    <t>1.089.83</t>
  </si>
  <si>
    <t>EMISSÃO EXTR. CONTA-2025-02-28</t>
  </si>
  <si>
    <t>1.088.83</t>
  </si>
  <si>
    <t>I.SELO OP.BANC. -2025-02-28</t>
  </si>
  <si>
    <t>1.088.79</t>
  </si>
  <si>
    <t>1.028.79</t>
  </si>
  <si>
    <t>TR-IPS-CLAUDIA RUTE NUNES CARR</t>
  </si>
  <si>
    <t>1.073.79</t>
  </si>
  <si>
    <t>1.118.79</t>
  </si>
  <si>
    <t>1.163.79</t>
  </si>
  <si>
    <t>1.208.79</t>
  </si>
  <si>
    <t>1.258.79</t>
  </si>
  <si>
    <t>1.303.79</t>
  </si>
  <si>
    <t>1.343.79</t>
  </si>
  <si>
    <t>1.388.79</t>
  </si>
  <si>
    <t>1.639.64</t>
  </si>
  <si>
    <t>1.214.87</t>
  </si>
  <si>
    <t>1.259.87</t>
  </si>
  <si>
    <t>1.252.87</t>
  </si>
  <si>
    <t>1.252.59</t>
  </si>
  <si>
    <t>1.297.59</t>
  </si>
  <si>
    <t>1.317.59</t>
  </si>
  <si>
    <t>TRF.IPS P/ JOSE CARLOS SANDE</t>
  </si>
  <si>
    <t>1.257.59</t>
  </si>
  <si>
    <t>1.118.00</t>
  </si>
  <si>
    <t>1.163.00</t>
  </si>
  <si>
    <t>1.208.00</t>
  </si>
  <si>
    <t>1.253.00</t>
  </si>
  <si>
    <t>EMISSÃO EXTR. CONTA-2025-03-31</t>
  </si>
  <si>
    <t>1.252.00</t>
  </si>
  <si>
    <t>I.SELO OP.BANC. -2025-03-31</t>
  </si>
  <si>
    <t>1.251.96</t>
  </si>
  <si>
    <t>1.191.96</t>
  </si>
  <si>
    <t>1.281.96</t>
  </si>
  <si>
    <t>1.326.96</t>
  </si>
  <si>
    <t>1.371.96</t>
  </si>
  <si>
    <t>1.421.96</t>
  </si>
  <si>
    <t>1.466.96</t>
  </si>
  <si>
    <t>1.511.96</t>
  </si>
  <si>
    <t>TR-IPS-NUNO FILIPE SANTOS BARR</t>
  </si>
  <si>
    <t>1.691.96</t>
  </si>
  <si>
    <t>1.473.04</t>
  </si>
  <si>
    <t>1.518.04</t>
  </si>
  <si>
    <t>1.511.04</t>
  </si>
  <si>
    <t>1.510.76</t>
  </si>
  <si>
    <t>1.555.76</t>
  </si>
  <si>
    <t>1.575.76</t>
  </si>
  <si>
    <t>1.620.76</t>
  </si>
  <si>
    <t>1.665.76</t>
  </si>
  <si>
    <t>EMISSÃO EXTR. CONTA-2025-04-30</t>
  </si>
  <si>
    <t>1.664.76</t>
  </si>
  <si>
    <t>I.SELO OP.BANC. -2025-04-30</t>
  </si>
  <si>
    <t>1.664.72</t>
  </si>
  <si>
    <t>1.604.72</t>
  </si>
  <si>
    <t>1.448.08</t>
  </si>
  <si>
    <t>1.538.08</t>
  </si>
  <si>
    <t>1.588.08</t>
  </si>
  <si>
    <t>1.633.08</t>
  </si>
  <si>
    <t>1.678.08</t>
  </si>
  <si>
    <t>1.723.08</t>
  </si>
  <si>
    <t>1.768.08</t>
  </si>
  <si>
    <t>1.813.08</t>
  </si>
  <si>
    <t>1.858.08</t>
  </si>
  <si>
    <t>1.639.16</t>
  </si>
  <si>
    <t>1.632.16</t>
  </si>
  <si>
    <t>1.631.88</t>
  </si>
  <si>
    <t>1.651.88</t>
  </si>
  <si>
    <t>1.502.76</t>
  </si>
  <si>
    <t>1.547.76</t>
  </si>
  <si>
    <t>1.592.76</t>
  </si>
  <si>
    <t>1.637.76</t>
  </si>
  <si>
    <t>EMISSÃO EXTR. CONTA-2025-05-31</t>
  </si>
  <si>
    <t>1.636.76</t>
  </si>
  <si>
    <t>I.SELO OP.BANC. -2025-05-31</t>
  </si>
  <si>
    <t>1.636.72</t>
  </si>
  <si>
    <t>1.576.72</t>
  </si>
  <si>
    <t>1.696.72</t>
  </si>
  <si>
    <t>1.786.72</t>
  </si>
  <si>
    <t>1.831.72</t>
  </si>
  <si>
    <t>1.876.72</t>
  </si>
  <si>
    <t>1.926.72</t>
  </si>
  <si>
    <t>1.971.72</t>
  </si>
  <si>
    <t>2.016.72</t>
  </si>
  <si>
    <t>2.061.72</t>
  </si>
  <si>
    <t>DD-OTIS-ELEVADORES</t>
  </si>
  <si>
    <t>1.842.80</t>
  </si>
  <si>
    <t>1.835.80</t>
  </si>
  <si>
    <t>1.835.52</t>
  </si>
  <si>
    <t>1.855.52</t>
  </si>
  <si>
    <t>1.900.52</t>
  </si>
  <si>
    <t>1.945.52</t>
  </si>
  <si>
    <t>DD-ENDESA ENERGIA</t>
  </si>
  <si>
    <t>1.788.88</t>
  </si>
  <si>
    <t>1.833.88</t>
  </si>
  <si>
    <t>EMISSÃO EXTR. CONTA-2025-06-30</t>
  </si>
  <si>
    <t>1.832.88</t>
  </si>
  <si>
    <t>I.SELO OP.BANC. -2025-06-30</t>
  </si>
  <si>
    <t>1.832.84</t>
  </si>
  <si>
    <t>1.772.84</t>
  </si>
  <si>
    <t>1.862.84</t>
  </si>
  <si>
    <t>1.907.84</t>
  </si>
  <si>
    <t>1.957.84</t>
  </si>
  <si>
    <t>1.995.34</t>
  </si>
  <si>
    <t>2.040.34</t>
  </si>
  <si>
    <t>2.085.34</t>
  </si>
  <si>
    <t>2.130.34</t>
  </si>
  <si>
    <t>1.911.42</t>
  </si>
  <si>
    <t>1.904.42</t>
  </si>
  <si>
    <t>1.904.14</t>
  </si>
  <si>
    <t>1.949.14</t>
  </si>
  <si>
    <t>1.795.37</t>
  </si>
  <si>
    <t>1.815.37</t>
  </si>
  <si>
    <t>1.860.37</t>
  </si>
  <si>
    <t>1.905.37</t>
  </si>
  <si>
    <t>1.950.37</t>
  </si>
  <si>
    <t>1.880.37</t>
  </si>
  <si>
    <t>PAG.SERV. 21235 013224947</t>
  </si>
  <si>
    <t>1.019.37</t>
  </si>
  <si>
    <t>EMISSÃO EXTR. CONTA-2025-07-31</t>
  </si>
  <si>
    <t>1.018.37</t>
  </si>
  <si>
    <t>I.SELO OP.BANC. -2025-07-31</t>
  </si>
  <si>
    <t>1.018.33</t>
  </si>
  <si>
    <t>1.040.83</t>
  </si>
  <si>
    <t>1.130.83</t>
  </si>
  <si>
    <t>1.175.83</t>
  </si>
  <si>
    <t>1.220.83</t>
  </si>
  <si>
    <t>1.260.83</t>
  </si>
  <si>
    <t>1.305.83</t>
  </si>
  <si>
    <t>1.350.83</t>
  </si>
  <si>
    <t>1.131.91</t>
  </si>
  <si>
    <t>1.122.91</t>
  </si>
  <si>
    <t>1.122.55</t>
  </si>
  <si>
    <t>1.142.55</t>
  </si>
  <si>
    <t>1.030.13</t>
  </si>
  <si>
    <t>1.075.13</t>
  </si>
  <si>
    <t>EMISSÃO EXTR. CONTA-2025-08-31</t>
  </si>
  <si>
    <t>1.074.13</t>
  </si>
  <si>
    <t>I.SELO OP.BANC. -2025-08-31</t>
  </si>
  <si>
    <t>1.074.09</t>
  </si>
  <si>
    <t>1.014.09</t>
  </si>
  <si>
    <t>1.104.09</t>
  </si>
  <si>
    <t>1.154.09</t>
  </si>
  <si>
    <t>1.199.09</t>
  </si>
  <si>
    <t>1.244.09</t>
  </si>
  <si>
    <t>1.289.09</t>
  </si>
  <si>
    <t>1.379.09</t>
  </si>
  <si>
    <t>1.160.17</t>
  </si>
  <si>
    <t>1.151.17</t>
  </si>
  <si>
    <t>1.150.81</t>
  </si>
  <si>
    <t>1.195.81</t>
  </si>
  <si>
    <t>1.215.81</t>
  </si>
  <si>
    <t>1.066.44</t>
  </si>
  <si>
    <t>1.111.44</t>
  </si>
  <si>
    <t>1.156.44</t>
  </si>
  <si>
    <t>1.201.44</t>
  </si>
  <si>
    <t>EMISSÃO EXTR. CONTA-2025-09-30</t>
  </si>
  <si>
    <t>1.200.44</t>
  </si>
  <si>
    <t>I.SELO OP.BANC. -2025-09-30</t>
  </si>
  <si>
    <t>1.200.40</t>
  </si>
  <si>
    <t>1.140.40</t>
  </si>
  <si>
    <t>1.230.40</t>
  </si>
  <si>
    <t>1.275.40</t>
  </si>
  <si>
    <t>1.325.40</t>
  </si>
  <si>
    <t>1.370.40</t>
  </si>
  <si>
    <t>1.415.40</t>
  </si>
  <si>
    <t>1.495.40</t>
  </si>
  <si>
    <t>1.540.40</t>
  </si>
  <si>
    <t>1.585.40</t>
  </si>
  <si>
    <t>1.366.48</t>
  </si>
  <si>
    <t>1.357.48</t>
  </si>
  <si>
    <t>1.357.12</t>
  </si>
  <si>
    <t>1.157.12</t>
  </si>
  <si>
    <t>EMISSÃO EXTR. CONTA-2025-10-31</t>
  </si>
  <si>
    <t>I.SELO OP.BANC. -2025-10-31</t>
  </si>
  <si>
    <t>EMISSÃO EXTR. CONTA-2025-11-30</t>
  </si>
  <si>
    <t>I.SELO OP.BANC. -2025-11-30</t>
  </si>
  <si>
    <t>TR-IPS-MANUEL ROCHA RODRIGUES</t>
  </si>
  <si>
    <t>1.014.97</t>
  </si>
  <si>
    <t>1.034.97</t>
  </si>
  <si>
    <t>1.079.97</t>
  </si>
  <si>
    <t>EMISSÃO EXTR. CONTA-2025-12-31</t>
  </si>
  <si>
    <t>I.SELO OP.BANC. -2025-12-31</t>
  </si>
  <si>
    <t>1.047.26</t>
  </si>
  <si>
    <t>1.092.26</t>
  </si>
  <si>
    <t>1.137.26</t>
  </si>
  <si>
    <t>1.321.00</t>
  </si>
  <si>
    <t>1.227.26</t>
  </si>
  <si>
    <t>1.272.26</t>
  </si>
  <si>
    <t>1.317.26</t>
  </si>
  <si>
    <t>1.362.26</t>
  </si>
  <si>
    <t>1.251.58</t>
  </si>
  <si>
    <t>1.242.58</t>
  </si>
  <si>
    <t>1.242.22</t>
  </si>
  <si>
    <t>1.241.22</t>
  </si>
  <si>
    <t>1.241.18</t>
  </si>
  <si>
    <t>1.240.18</t>
  </si>
  <si>
    <t>1.240.14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</si>
</sst>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424242"/>
      <name val="Tahoma"/>
      <family val="2"/>
    </font>
    <font>
      <sz val="14"/>
      <color rgb="FF424242"/>
      <name val="Tahoma"/>
      <family val="2"/>
    </font>
    <font>
      <u/>
      <sz val="14"/>
      <color rgb="FF424242"/>
      <name val="Tahoma"/>
      <family val="2"/>
    </font>
    <font>
      <b/>
      <u/>
      <sz val="14"/>
      <color rgb="FF42424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1" xfId="0" applyNumberFormat="1" applyFont="1" applyBorder="1"/>
    <xf numFmtId="0" fontId="2" fillId="0" borderId="1" xfId="0" applyFont="1" applyBorder="1"/>
    <xf numFmtId="2" fontId="2" fillId="2" borderId="0" xfId="0" applyNumberFormat="1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rgb="FF424242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424242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424242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4"/>
        <color rgb="FF424242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424242"/>
        <name val="Tahoma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424242"/>
        <name val="Tahoma"/>
        <family val="2"/>
        <scheme val="none"/>
      </font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424242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uipereira/Documents/Claude/projects/condominio/contas%20predio.xlsm" TargetMode="External"/><Relationship Id="rId1" Type="http://schemas.openxmlformats.org/officeDocument/2006/relationships/externalLinkPath" Target="contas%20pred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ctosDO_027100109928_202406"/>
      <sheetName val="Sheet2"/>
      <sheetName val="Fy24-25"/>
      <sheetName val="Mapping"/>
    </sheetNames>
    <sheetDataSet>
      <sheetData sheetId="0"/>
      <sheetData sheetId="1"/>
      <sheetData sheetId="2"/>
      <sheetData sheetId="3">
        <row r="1">
          <cell r="A1" t="str">
            <v>Nome</v>
          </cell>
          <cell r="B1" t="str">
            <v>Andar</v>
          </cell>
        </row>
        <row r="2">
          <cell r="A2" t="str">
            <v>TR-JOAO MANUEL BORGES GUERRA</v>
          </cell>
          <cell r="B2" t="str">
            <v>3D</v>
          </cell>
        </row>
        <row r="3">
          <cell r="A3" t="str">
            <v>TR-MARTA RIBEIRO PEREIRA</v>
          </cell>
          <cell r="B3" t="str">
            <v>1D</v>
          </cell>
        </row>
        <row r="4">
          <cell r="A4" t="str">
            <v>TRF.DE MARISIA CONCEIÇÃO QUINT</v>
          </cell>
          <cell r="B4" t="str">
            <v>RCE</v>
          </cell>
        </row>
        <row r="5">
          <cell r="A5" t="str">
            <v>TRF.DE HUGO TAVARES MARTINS</v>
          </cell>
          <cell r="B5" t="str">
            <v>CV</v>
          </cell>
        </row>
        <row r="6">
          <cell r="A6" t="str">
            <v>TRF.CRED M FERNANDA PINTO</v>
          </cell>
          <cell r="B6" t="str">
            <v>4D</v>
          </cell>
        </row>
        <row r="7">
          <cell r="A7" t="str">
            <v>TRF.DE PEDRO MIGUEL REBELO SIL</v>
          </cell>
          <cell r="B7" t="str">
            <v>6D</v>
          </cell>
        </row>
        <row r="8">
          <cell r="A8" t="str">
            <v>TR-CESAR DAVID SANTOS SA</v>
          </cell>
          <cell r="B8" t="str">
            <v>2E</v>
          </cell>
        </row>
        <row r="9">
          <cell r="A9" t="str">
            <v>TR-IPS-EDMUNDO FRANCISCO REBEL</v>
          </cell>
          <cell r="B9" t="str">
            <v>6E</v>
          </cell>
        </row>
        <row r="10">
          <cell r="A10" t="str">
            <v>TR-ANTONIO JOAO ANJOS JUSTINO</v>
          </cell>
          <cell r="B10" t="str">
            <v>4E</v>
          </cell>
        </row>
        <row r="11">
          <cell r="A11" t="str">
            <v>TR-FERNANDO JORGE DOS SANTOS</v>
          </cell>
          <cell r="B11" t="str">
            <v>1E</v>
          </cell>
        </row>
        <row r="12">
          <cell r="A12" t="str">
            <v>SOLUÇÃO E.CONDOMÍNIO</v>
          </cell>
          <cell r="B12" t="str">
            <v>Gestao Conta</v>
          </cell>
        </row>
        <row r="13">
          <cell r="A13" t="str">
            <v>I.S. COM. MAN. CTA PACOTE</v>
          </cell>
          <cell r="B13" t="str">
            <v>Gestao Conta</v>
          </cell>
        </row>
        <row r="14">
          <cell r="A14" t="str">
            <v>TR-CATIA ANDREIA BASTOS MORAIS</v>
          </cell>
          <cell r="B14" t="str">
            <v>RCD</v>
          </cell>
        </row>
        <row r="15">
          <cell r="A15" t="str">
            <v>TRF.DE MARIA ISABEL SANTOS MEL</v>
          </cell>
          <cell r="B15" t="str">
            <v>5E</v>
          </cell>
        </row>
        <row r="16">
          <cell r="A16" t="str">
            <v>TRF.DE LUÍS ANTÓNIO CAEIRO DIA</v>
          </cell>
          <cell r="B16" t="str">
            <v>5D</v>
          </cell>
        </row>
        <row r="17">
          <cell r="A17" t="str">
            <v>EMISSÃO EXTR. CONTA-2024-05-31</v>
          </cell>
          <cell r="B17" t="str">
            <v>Gestao Conta</v>
          </cell>
        </row>
        <row r="18">
          <cell r="A18" t="str">
            <v>I.SELO OP.BANC. -2024-05-31</v>
          </cell>
          <cell r="B18" t="str">
            <v>Gestao Conta</v>
          </cell>
        </row>
        <row r="19">
          <cell r="A19" t="str">
            <v>SP-30003908685 ENDESA ENERGIA</v>
          </cell>
          <cell r="B19" t="str">
            <v>Luz</v>
          </cell>
        </row>
        <row r="20">
          <cell r="A20" t="str">
            <v>TRF.CRED MANUELA SILVA</v>
          </cell>
          <cell r="B20" t="str">
            <v>6E</v>
          </cell>
        </row>
        <row r="21">
          <cell r="A21" t="str">
            <v>SP-00000269196 OTIS-ELEVADORES</v>
          </cell>
          <cell r="B21" t="str">
            <v>Elevadores</v>
          </cell>
        </row>
        <row r="22">
          <cell r="A22" t="str">
            <v>EMISSÃO EXTR. CONTA-2024-06-30</v>
          </cell>
          <cell r="B22" t="str">
            <v>Gestao Conta</v>
          </cell>
        </row>
        <row r="23">
          <cell r="A23" t="str">
            <v>I.SELO OP.BANC. -2024-06-30</v>
          </cell>
          <cell r="B23" t="str">
            <v>Gestao Conta</v>
          </cell>
        </row>
        <row r="24">
          <cell r="A24" t="str">
            <v>TR-MIGUEL ALEXANDRE SCATOLA PR</v>
          </cell>
          <cell r="B24" t="str">
            <v>3E</v>
          </cell>
        </row>
        <row r="25">
          <cell r="A25" t="str">
            <v>TR-CESAR DAVID DOS SANTOS DE S</v>
          </cell>
          <cell r="B25" t="str">
            <v>2E</v>
          </cell>
        </row>
        <row r="26">
          <cell r="A26" t="str">
            <v>TR-CL UDIA RUTE NUNES CARRIÃO</v>
          </cell>
          <cell r="B26" t="str">
            <v>6D</v>
          </cell>
        </row>
        <row r="27">
          <cell r="A27" t="str">
            <v>TR-NEIDE PATRICIA HENRIQUES SO</v>
          </cell>
          <cell r="B27" t="str">
            <v>2D</v>
          </cell>
        </row>
        <row r="28">
          <cell r="A28" t="str">
            <v>TRF. LUÍS ANTÓNIO CAEIRO DIAS</v>
          </cell>
          <cell r="B28" t="str">
            <v>5D</v>
          </cell>
        </row>
        <row r="29">
          <cell r="A29" t="str">
            <v>TR-CLAUDIA RUTE NUNES CARRICO</v>
          </cell>
          <cell r="B29" t="str">
            <v>6D</v>
          </cell>
        </row>
        <row r="30">
          <cell r="A30" t="str">
            <v>TR-EDMUNDO FRANCISCO REBELO SI</v>
          </cell>
          <cell r="B30" t="str">
            <v>6E</v>
          </cell>
        </row>
        <row r="31">
          <cell r="A31" t="str">
            <v>PAG.SERV. 10550 210022723</v>
          </cell>
          <cell r="B31" t="str">
            <v>P. Serviços</v>
          </cell>
        </row>
        <row r="32">
          <cell r="A32" t="str">
            <v>PAG.SERV. 20624 514243599</v>
          </cell>
          <cell r="B32" t="str">
            <v>P. Serviços</v>
          </cell>
        </row>
        <row r="33">
          <cell r="A33" t="str">
            <v>PAG.SERV. 20624 514243600</v>
          </cell>
          <cell r="B33" t="str">
            <v>P. Serviços</v>
          </cell>
        </row>
        <row r="34">
          <cell r="A34" t="str">
            <v>PAG.SERV. 11873 260067092</v>
          </cell>
          <cell r="B34" t="str">
            <v>P. Serviços</v>
          </cell>
        </row>
        <row r="35">
          <cell r="A35" t="str">
            <v>EMISSÃO EXTR. CONTA-2023-12-31</v>
          </cell>
          <cell r="B35" t="str">
            <v>Gestao Conta</v>
          </cell>
        </row>
        <row r="36">
          <cell r="A36" t="str">
            <v>I.SELO OP.BANC. -2023-12-31</v>
          </cell>
          <cell r="B36" t="str">
            <v>Gestao Conta</v>
          </cell>
        </row>
        <row r="37">
          <cell r="A37" t="str">
            <v>TRF. P/ DP NR. 027-15.010650-1</v>
          </cell>
          <cell r="B37" t="str">
            <v>Conta Poupança</v>
          </cell>
        </row>
        <row r="38">
          <cell r="A38" t="str">
            <v>COMISS. EXTRATO NET24</v>
          </cell>
          <cell r="B38" t="str">
            <v>Gestao Conta</v>
          </cell>
        </row>
        <row r="39">
          <cell r="A39" t="str">
            <v>IMP.SELO S/OP.BANCARIAS</v>
          </cell>
          <cell r="B39" t="str">
            <v>Gestao Conta</v>
          </cell>
        </row>
        <row r="40">
          <cell r="A40" t="str">
            <v>LEV.ATM 8887</v>
          </cell>
          <cell r="B40" t="str">
            <v>Levantamento</v>
          </cell>
        </row>
        <row r="41">
          <cell r="A41" t="str">
            <v>PAG.SERV. 10550 209827074</v>
          </cell>
          <cell r="B41" t="str">
            <v>P. Serviços</v>
          </cell>
        </row>
        <row r="42">
          <cell r="A42" t="str">
            <v>EMISSÃO EXTR. CONTA-2024-01-31</v>
          </cell>
          <cell r="B42" t="str">
            <v>Gestao Conta</v>
          </cell>
        </row>
        <row r="43">
          <cell r="A43" t="str">
            <v>I.SELO OP.BANC. -2024-01-31</v>
          </cell>
          <cell r="B43" t="str">
            <v>Gestao Conta</v>
          </cell>
        </row>
        <row r="44">
          <cell r="A44" t="str">
            <v>TRF.IPS P/ JCSS UNIPESSOAL</v>
          </cell>
          <cell r="B44" t="str">
            <v>pagamento</v>
          </cell>
        </row>
        <row r="45">
          <cell r="A45" t="str">
            <v>EMISSÃO EXTR. CONTA-2024-02-29</v>
          </cell>
          <cell r="B45" t="str">
            <v>Gestao Conta</v>
          </cell>
        </row>
        <row r="46">
          <cell r="A46" t="str">
            <v>I.SELO OP.BANC. -2024-02-29</v>
          </cell>
          <cell r="B46" t="str">
            <v>Gestao Conta</v>
          </cell>
        </row>
        <row r="47">
          <cell r="A47" t="str">
            <v>EMISSÃO EXTR. CONTA-2024-03-31</v>
          </cell>
          <cell r="B47" t="str">
            <v>Gestao Conta</v>
          </cell>
        </row>
        <row r="48">
          <cell r="A48" t="str">
            <v>I.SELO OP.BANC. -2024-03-31</v>
          </cell>
          <cell r="B48" t="str">
            <v>Gestao Conta</v>
          </cell>
        </row>
        <row r="49">
          <cell r="A49" t="str">
            <v>LEV.ATM 8887</v>
          </cell>
          <cell r="B49" t="str">
            <v>Levantamento</v>
          </cell>
        </row>
        <row r="50">
          <cell r="A50" t="str">
            <v>LEV.ATM 8887</v>
          </cell>
          <cell r="B50" t="str">
            <v>Levantamento</v>
          </cell>
        </row>
        <row r="51">
          <cell r="A51" t="str">
            <v>EMISSÃO EXTR. CONTA-2024-04-30</v>
          </cell>
          <cell r="B51" t="str">
            <v>Gestao Conta</v>
          </cell>
        </row>
        <row r="52">
          <cell r="A52" t="str">
            <v>I.SELO OP.BANC. -2024-04-30</v>
          </cell>
          <cell r="B52" t="str">
            <v>Gestao Conta</v>
          </cell>
        </row>
        <row r="53">
          <cell r="A53" t="str">
            <v>EMISSÃO EXTR. CONTA-2024-08-31</v>
          </cell>
          <cell r="B53" t="str">
            <v>Gestao Conta</v>
          </cell>
        </row>
        <row r="54">
          <cell r="A54" t="str">
            <v>I.SELO OP.BANC. -2024-08-31</v>
          </cell>
          <cell r="B54" t="str">
            <v>Gestao Conta</v>
          </cell>
        </row>
        <row r="55">
          <cell r="A55" t="str">
            <v>EMISSÃO EXTR. CONTA-2024-09-30</v>
          </cell>
          <cell r="B55" t="str">
            <v>Gestao Conta</v>
          </cell>
        </row>
        <row r="56">
          <cell r="A56" t="str">
            <v>I.SELO OP.BANC. -2024-09-30</v>
          </cell>
          <cell r="B56" t="str">
            <v>Gestao Conta</v>
          </cell>
        </row>
        <row r="57">
          <cell r="A57" t="str">
            <v>PAG.SERV. 21235 013324947</v>
          </cell>
          <cell r="B57" t="str">
            <v>P. Serviços</v>
          </cell>
        </row>
        <row r="58">
          <cell r="A58" t="str">
            <v>EMISSÃO EXTR. CONTA-2024-10-31</v>
          </cell>
          <cell r="B58" t="str">
            <v>Gestao Conta</v>
          </cell>
        </row>
        <row r="59">
          <cell r="A59" t="str">
            <v>I.SELO OP.BANC. -2024-10-31</v>
          </cell>
          <cell r="B59" t="str">
            <v>Gestao Conta</v>
          </cell>
        </row>
        <row r="60">
          <cell r="A60" t="str">
            <v>EMISSÃO EXTR. CONTA-2024-07-31</v>
          </cell>
          <cell r="B60" t="str">
            <v>Gestao Conta</v>
          </cell>
        </row>
        <row r="61">
          <cell r="A61" t="str">
            <v>I.SELO OP.BANC. -2024-07-31</v>
          </cell>
          <cell r="B61" t="str">
            <v>Gestao Conta</v>
          </cell>
        </row>
        <row r="62">
          <cell r="A62" t="str">
            <v>I.SELO OP.BANC. -2024-12-31</v>
          </cell>
          <cell r="B62" t="str">
            <v>Gestao Conta</v>
          </cell>
        </row>
        <row r="63">
          <cell r="A63" t="str">
            <v>EMISSÃO EXTR. CONTA-2024-11-30</v>
          </cell>
          <cell r="B63" t="str">
            <v>Gestao Conta</v>
          </cell>
        </row>
        <row r="64">
          <cell r="A64" t="str">
            <v>I.SELO OP.BANC. -2024-11-30</v>
          </cell>
          <cell r="B64" t="str">
            <v>Gestao Conta</v>
          </cell>
        </row>
        <row r="65">
          <cell r="A65" t="str">
            <v>TRF.P/ JOSE NICOLE,LDA</v>
          </cell>
          <cell r="B65" t="str">
            <v>Bomba Agua</v>
          </cell>
        </row>
        <row r="66">
          <cell r="A66" t="str">
            <v>TRF.IPS P/ FABIO HENRIQUE PEI</v>
          </cell>
          <cell r="B66" t="str">
            <v>Electrecista</v>
          </cell>
        </row>
        <row r="67">
          <cell r="A67" t="str">
            <v>TR-MANUEL ROCHA RODRIGUES</v>
          </cell>
          <cell r="B67" t="str">
            <v>Garagem</v>
          </cell>
        </row>
        <row r="68">
          <cell r="A68" t="str">
            <v>EMISSÃO EXTR. CONTA-2024-12-31</v>
          </cell>
          <cell r="B68" t="str">
            <v>Gestao Conta</v>
          </cell>
        </row>
        <row r="69">
          <cell r="A69" t="str">
            <v>I.SELO OP.BANC. -2024-12-31</v>
          </cell>
          <cell r="B69" t="str">
            <v>Gestao Conta</v>
          </cell>
        </row>
        <row r="70">
          <cell r="A70" t="str">
            <v>TR-IPS-CARLOS ALBERTO SILVA DI</v>
          </cell>
          <cell r="B70" t="str">
            <v>4D</v>
          </cell>
        </row>
        <row r="71">
          <cell r="A71" t="str">
            <v>TR-IPS-MARIA MANUELA FERREIRA</v>
          </cell>
          <cell r="B71" t="str">
            <v>6E</v>
          </cell>
        </row>
        <row r="72">
          <cell r="A72" t="str">
            <v>TR-IPS-CATIA ANDREIA BASTOS MO</v>
          </cell>
          <cell r="B72" t="str">
            <v>RCD</v>
          </cell>
        </row>
        <row r="73">
          <cell r="A73" t="str">
            <v>TRF.IPS P/ RUI MIGUEL REDOL P</v>
          </cell>
          <cell r="B73" t="str">
            <v>Outos pagamentos</v>
          </cell>
        </row>
        <row r="74">
          <cell r="A74" t="str">
            <v>EMISSÃO EXTR. CONTA</v>
          </cell>
          <cell r="B74" t="str">
            <v>Gestao Conta</v>
          </cell>
        </row>
        <row r="75">
          <cell r="A75" t="str">
            <v>TR-IPS-MIGUEL ALEXANDRE SCATOL</v>
          </cell>
          <cell r="B75" t="str">
            <v>3E</v>
          </cell>
        </row>
        <row r="76">
          <cell r="A76" t="str">
            <v>TR-IPS-NUNO FILIPE SANTOS BARR</v>
          </cell>
          <cell r="B76" t="str">
            <v>2E</v>
          </cell>
        </row>
        <row r="77">
          <cell r="A77" t="str">
            <v>TR-IPS-CLAUDIA RUTE NUNES CARR</v>
          </cell>
          <cell r="B77" t="str">
            <v>6D</v>
          </cell>
        </row>
        <row r="78">
          <cell r="A78" t="str">
            <v>EMISSÃO EXTR. CONTA-2025-01-31</v>
          </cell>
          <cell r="B78" t="str">
            <v>Gestao Conta</v>
          </cell>
        </row>
        <row r="79">
          <cell r="A79" t="str">
            <v>EMISSÃO EXTR. CONTA-2025-02-28</v>
          </cell>
          <cell r="B79" t="str">
            <v>Gestao Conta</v>
          </cell>
        </row>
        <row r="80">
          <cell r="A80" t="str">
            <v>EMISSÃO EXTR. CONTA-2025-03-31</v>
          </cell>
          <cell r="B80" t="str">
            <v>Gestao Conta</v>
          </cell>
        </row>
        <row r="81">
          <cell r="A81" t="str">
            <v>EMISSÃO EXTR. CONTA-2025-04-30</v>
          </cell>
          <cell r="B81" t="str">
            <v>Gestao Conta</v>
          </cell>
        </row>
        <row r="82">
          <cell r="A82" t="str">
            <v>EMISSÃO EXTR. CONTA-2025-05-31</v>
          </cell>
          <cell r="B82" t="str">
            <v>Gestao Conta</v>
          </cell>
        </row>
        <row r="83">
          <cell r="A83" t="str">
            <v>EMISSÃO EXTR. CONTA-2025-06-30</v>
          </cell>
          <cell r="B83" t="str">
            <v>Gestao Conta</v>
          </cell>
        </row>
        <row r="84">
          <cell r="A84" t="str">
            <v>EMISSÃO EXTR. CONTA-2025-07-31</v>
          </cell>
          <cell r="B84" t="str">
            <v>Gestao Conta</v>
          </cell>
        </row>
        <row r="85">
          <cell r="A85" t="str">
            <v>EMISSÃO EXTR. CONTA-2025-08-31</v>
          </cell>
          <cell r="B85" t="str">
            <v>Gestao Conta</v>
          </cell>
        </row>
        <row r="86">
          <cell r="A86" t="str">
            <v>EMISSÃO EXTR. CONTA-2025-09-30</v>
          </cell>
          <cell r="B86" t="str">
            <v>Gestao Conta</v>
          </cell>
        </row>
        <row r="87">
          <cell r="A87" t="str">
            <v>EMISSÃO EXTR. CONTA-2025-10-31</v>
          </cell>
          <cell r="B87" t="str">
            <v>Gestao Conta</v>
          </cell>
        </row>
        <row r="88">
          <cell r="A88" t="str">
            <v>EMISSÃO EXTR. CONTA-2025-11-30</v>
          </cell>
          <cell r="B88" t="str">
            <v>Gestao Conta</v>
          </cell>
        </row>
        <row r="89">
          <cell r="A89" t="str">
            <v>EMISSÃO EXTR. CONTA-2025-12-31</v>
          </cell>
          <cell r="B89" t="str">
            <v>Gestao Conta</v>
          </cell>
        </row>
        <row r="90">
          <cell r="A90" t="str">
            <v>I.SELO OP.BANC. -2025-01-31</v>
          </cell>
          <cell r="B90" t="str">
            <v>Gestao Conta</v>
          </cell>
        </row>
        <row r="91">
          <cell r="A91" t="str">
            <v>I.SELO OP.BANC. -2025-02-28</v>
          </cell>
          <cell r="B91" t="str">
            <v>Gestao Conta</v>
          </cell>
        </row>
        <row r="92">
          <cell r="A92" t="str">
            <v>I.SELO OP.BANC. -2025-03-31</v>
          </cell>
          <cell r="B92" t="str">
            <v>Gestao Conta</v>
          </cell>
        </row>
        <row r="93">
          <cell r="A93" t="str">
            <v>I.SELO OP.BANC. -2025-04-30</v>
          </cell>
          <cell r="B93" t="str">
            <v>Gestao Conta</v>
          </cell>
        </row>
        <row r="94">
          <cell r="A94" t="str">
            <v>I.SELO OP.BANC. -2025-05-31</v>
          </cell>
          <cell r="B94" t="str">
            <v>Gestao Conta</v>
          </cell>
        </row>
        <row r="95">
          <cell r="A95" t="str">
            <v>I.SELO OP.BANC. -2025-06-30</v>
          </cell>
          <cell r="B95" t="str">
            <v>Gestao Conta</v>
          </cell>
        </row>
        <row r="96">
          <cell r="A96" t="str">
            <v>I.SELO OP.BANC. -2025-07-31</v>
          </cell>
          <cell r="B96" t="str">
            <v>Gestao Conta</v>
          </cell>
        </row>
        <row r="97">
          <cell r="A97" t="str">
            <v>I.SELO OP.BANC. -2025-08-31</v>
          </cell>
          <cell r="B97" t="str">
            <v>Gestao Conta</v>
          </cell>
        </row>
        <row r="98">
          <cell r="A98" t="str">
            <v>I.SELO OP.BANC. -2025-09-30</v>
          </cell>
          <cell r="B98" t="str">
            <v>Gestao Conta</v>
          </cell>
        </row>
        <row r="99">
          <cell r="A99" t="str">
            <v>I.SELO OP.BANC. -2025-10-31</v>
          </cell>
          <cell r="B99" t="str">
            <v>Gestao Conta</v>
          </cell>
        </row>
        <row r="100">
          <cell r="A100" t="str">
            <v>I.SELO OP.BANC. -2025-11-30</v>
          </cell>
          <cell r="B100" t="str">
            <v>Gestao Conta</v>
          </cell>
        </row>
        <row r="101">
          <cell r="A101" t="str">
            <v>I.SELO OP.BANC. -2025-12-31</v>
          </cell>
          <cell r="B101" t="str">
            <v>Gestao Conta</v>
          </cell>
        </row>
        <row r="102">
          <cell r="A102" t="str">
            <v>DD-OTIS-ELEVADORES</v>
          </cell>
          <cell r="B102" t="str">
            <v>Elevadores</v>
          </cell>
        </row>
        <row r="103">
          <cell r="A103" t="str">
            <v>DD-ENDESA ENERGIA</v>
          </cell>
          <cell r="B103" t="str">
            <v>Luz</v>
          </cell>
        </row>
        <row r="104">
          <cell r="A104" t="str">
            <v>PAG.SERV. 21235 013224947</v>
          </cell>
          <cell r="B104" t="str">
            <v>Elevadores</v>
          </cell>
        </row>
        <row r="105">
          <cell r="A105" t="str">
            <v>TR-IPS-MANUEL ROCHA RODRIGUES</v>
          </cell>
          <cell r="B105" t="str">
            <v>Garagem</v>
          </cell>
        </row>
        <row r="106">
          <cell r="A106" t="str">
            <v>TRF.IPS P/ JOSE CARLOS SANDE</v>
          </cell>
          <cell r="B106" t="str">
            <v>Exaustores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584DB-1255-BB43-9058-7ADF340A757B}" name="Table1" displayName="Table1" ref="A1:F515" totalsRowShown="0" headerRowDxfId="6">
  <autoFilter ref="A1:F515" xr:uid="{2A6584DB-1255-BB43-9058-7ADF340A757B}"/>
  <sortState xmlns:xlrd2="http://schemas.microsoft.com/office/spreadsheetml/2017/richdata2" ref="A2:F502">
    <sortCondition ref="A1:A515"/>
  </sortState>
  <tableColumns count="6">
    <tableColumn id="1" xr3:uid="{BBBB5F8A-D8DB-7644-B27C-8753E25B48BC}" name="Data Mov." dataDxfId="5"/>
    <tableColumn id="2" xr3:uid="{9A736736-87EB-4241-8FDF-ED7FE49A0C77}" name="Data Valor" dataDxfId="4"/>
    <tableColumn id="3" xr3:uid="{3DB0D6CD-4094-A142-8731-D37797A5A3AC}" name="Descrição" dataDxfId="3"/>
    <tableColumn id="4" xr3:uid="{DFA30530-82A3-504B-A56C-A7199F45ED0D}" name="Importância" dataDxfId="2"/>
    <tableColumn id="5" xr3:uid="{5F2383A3-206E-944B-A1F2-B3A488691B5E}" name="Saldo Cont." dataDxfId="1"/>
    <tableColumn id="6" xr3:uid="{71CB53C0-EA6B-1D49-AE42-512FDD1A9357}" name="Andar" dataDxfId="0">
      <calculatedColumnFormula>_xlfn.XLOOKUP(C2,[1]Mapping!A:A,[1]Mapping!B:B,"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B392-DBB0-6B4E-AF64-53702AEDA18E}">
  <dimension ref="A1:F515"/>
  <sheetViews>
    <sheetView tabSelected="1" workbookViewId="0">
      <selection sqref="A1:F515"/>
    </sheetView>
  </sheetViews>
  <sheetFormatPr baseColWidth="10" defaultRowHeight="16" x14ac:dyDescent="0.2"/>
  <sheetData>
    <row r="1" spans="1:6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">
      <c r="A2" s="2">
        <v>45292</v>
      </c>
      <c r="B2" s="2">
        <v>45292</v>
      </c>
      <c r="C2" s="3" t="s">
        <v>6</v>
      </c>
      <c r="D2" s="4">
        <v>-1</v>
      </c>
      <c r="E2" s="4" t="s">
        <v>7</v>
      </c>
      <c r="F2" s="3" t="str">
        <f>_xlfn.XLOOKUP(C2,[1]Mapping!A:A,[1]Mapping!B:B," ")</f>
        <v>Gestao Conta</v>
      </c>
    </row>
    <row r="3" spans="1:6" ht="18" x14ac:dyDescent="0.2">
      <c r="A3" s="2">
        <v>45292</v>
      </c>
      <c r="B3" s="2">
        <v>45292</v>
      </c>
      <c r="C3" s="3" t="s">
        <v>8</v>
      </c>
      <c r="D3" s="4">
        <v>-0.04</v>
      </c>
      <c r="E3" s="4" t="s">
        <v>9</v>
      </c>
      <c r="F3" s="3" t="str">
        <f>_xlfn.XLOOKUP(C3,[1]Mapping!A:A,[1]Mapping!B:B," ")</f>
        <v>Gestao Conta</v>
      </c>
    </row>
    <row r="4" spans="1:6" ht="18" x14ac:dyDescent="0.2">
      <c r="A4" s="2">
        <v>45292</v>
      </c>
      <c r="B4" s="2">
        <v>45292</v>
      </c>
      <c r="C4" s="3" t="s">
        <v>10</v>
      </c>
      <c r="D4" s="4">
        <v>-60</v>
      </c>
      <c r="E4" s="4" t="s">
        <v>11</v>
      </c>
      <c r="F4" s="3" t="str">
        <f>_xlfn.XLOOKUP(C4,[1]Mapping!A:A,[1]Mapping!B:B," ")</f>
        <v>Conta Poupança</v>
      </c>
    </row>
    <row r="5" spans="1:6" ht="18" x14ac:dyDescent="0.2">
      <c r="A5" s="2">
        <v>45293</v>
      </c>
      <c r="B5" s="2">
        <v>45293</v>
      </c>
      <c r="C5" s="3" t="s">
        <v>12</v>
      </c>
      <c r="D5" s="4">
        <v>37.5</v>
      </c>
      <c r="E5" s="4" t="s">
        <v>13</v>
      </c>
      <c r="F5" s="3" t="str">
        <f>_xlfn.XLOOKUP(C5,[1]Mapping!A:A,[1]Mapping!B:B," ")</f>
        <v>3D</v>
      </c>
    </row>
    <row r="6" spans="1:6" ht="18" x14ac:dyDescent="0.2">
      <c r="A6" s="2">
        <v>45293</v>
      </c>
      <c r="B6" s="2">
        <v>45293</v>
      </c>
      <c r="C6" s="3" t="s">
        <v>14</v>
      </c>
      <c r="D6" s="4">
        <v>37.5</v>
      </c>
      <c r="E6" s="4" t="s">
        <v>15</v>
      </c>
      <c r="F6" s="3" t="str">
        <f>_xlfn.XLOOKUP(C6,[1]Mapping!A:A,[1]Mapping!B:B," ")</f>
        <v>1E</v>
      </c>
    </row>
    <row r="7" spans="1:6" ht="18" x14ac:dyDescent="0.2">
      <c r="A7" s="2">
        <v>45294</v>
      </c>
      <c r="B7" s="2">
        <v>45294</v>
      </c>
      <c r="C7" s="3" t="s">
        <v>16</v>
      </c>
      <c r="D7" s="4">
        <v>75</v>
      </c>
      <c r="E7" s="4" t="s">
        <v>17</v>
      </c>
      <c r="F7" s="3" t="str">
        <f>_xlfn.XLOOKUP(C7,[1]Mapping!A:A,[1]Mapping!B:B," ")</f>
        <v>3E</v>
      </c>
    </row>
    <row r="8" spans="1:6" ht="18" x14ac:dyDescent="0.2">
      <c r="A8" s="2">
        <v>46028</v>
      </c>
      <c r="B8" s="2">
        <v>46028</v>
      </c>
      <c r="C8" s="3" t="s">
        <v>18</v>
      </c>
      <c r="D8" s="4">
        <v>45</v>
      </c>
      <c r="E8" s="4" t="s">
        <v>19</v>
      </c>
      <c r="F8" s="3" t="str">
        <f>_xlfn.XLOOKUP(C8,[1]Mapping!A:A,[1]Mapping!B:B," ")</f>
        <v>1D</v>
      </c>
    </row>
    <row r="9" spans="1:6" ht="18" x14ac:dyDescent="0.2">
      <c r="A9" s="2">
        <v>45294</v>
      </c>
      <c r="B9" s="2">
        <v>45294</v>
      </c>
      <c r="C9" s="3" t="s">
        <v>20</v>
      </c>
      <c r="D9" s="4">
        <v>-1</v>
      </c>
      <c r="E9" s="4" t="s">
        <v>21</v>
      </c>
      <c r="F9" s="3" t="str">
        <f>_xlfn.XLOOKUP(C9,[1]Mapping!A:A,[1]Mapping!B:B," ")</f>
        <v>Gestao Conta</v>
      </c>
    </row>
    <row r="10" spans="1:6" ht="18" x14ac:dyDescent="0.2">
      <c r="A10" s="2">
        <v>45294</v>
      </c>
      <c r="B10" s="2">
        <v>45294</v>
      </c>
      <c r="C10" s="3" t="s">
        <v>22</v>
      </c>
      <c r="D10" s="4">
        <v>-0.04</v>
      </c>
      <c r="E10" s="4" t="s">
        <v>23</v>
      </c>
      <c r="F10" s="3" t="str">
        <f>_xlfn.XLOOKUP(C10,[1]Mapping!A:A,[1]Mapping!B:B," ")</f>
        <v>Gestao Conta</v>
      </c>
    </row>
    <row r="11" spans="1:6" ht="18" x14ac:dyDescent="0.2">
      <c r="A11" s="2">
        <v>45295</v>
      </c>
      <c r="B11" s="2">
        <v>45295</v>
      </c>
      <c r="C11" s="3" t="s">
        <v>24</v>
      </c>
      <c r="D11" s="4">
        <v>-109.08</v>
      </c>
      <c r="E11" s="4" t="s">
        <v>25</v>
      </c>
      <c r="F11" s="3" t="str">
        <f>_xlfn.XLOOKUP(C11,[1]Mapping!A:A,[1]Mapping!B:B," ")</f>
        <v>Luz</v>
      </c>
    </row>
    <row r="12" spans="1:6" ht="18" x14ac:dyDescent="0.2">
      <c r="A12" s="2">
        <v>45296</v>
      </c>
      <c r="B12" s="2">
        <v>45296</v>
      </c>
      <c r="C12" s="3" t="s">
        <v>26</v>
      </c>
      <c r="D12" s="4">
        <v>50</v>
      </c>
      <c r="E12" s="4" t="s">
        <v>27</v>
      </c>
      <c r="F12" s="3" t="str">
        <f>_xlfn.XLOOKUP(C12,[1]Mapping!A:A,[1]Mapping!B:B," ")</f>
        <v>RCE</v>
      </c>
    </row>
    <row r="13" spans="1:6" ht="18" x14ac:dyDescent="0.2">
      <c r="A13" s="2">
        <v>45296</v>
      </c>
      <c r="B13" s="2">
        <v>45296</v>
      </c>
      <c r="C13" s="3" t="s">
        <v>28</v>
      </c>
      <c r="D13" s="4">
        <v>37.5</v>
      </c>
      <c r="E13" s="4" t="s">
        <v>29</v>
      </c>
      <c r="F13" s="3" t="str">
        <f>_xlfn.XLOOKUP(C13,[1]Mapping!A:A,[1]Mapping!B:B," ")</f>
        <v>CV</v>
      </c>
    </row>
    <row r="14" spans="1:6" ht="18" x14ac:dyDescent="0.2">
      <c r="A14" s="2">
        <v>45299</v>
      </c>
      <c r="B14" s="2">
        <v>45299</v>
      </c>
      <c r="C14" s="3" t="s">
        <v>30</v>
      </c>
      <c r="D14" s="4">
        <v>37.5</v>
      </c>
      <c r="E14" s="4" t="s">
        <v>31</v>
      </c>
      <c r="F14" s="3" t="str">
        <f>_xlfn.XLOOKUP(C14,[1]Mapping!A:A,[1]Mapping!B:B," ")</f>
        <v>4D</v>
      </c>
    </row>
    <row r="15" spans="1:6" ht="18" x14ac:dyDescent="0.2">
      <c r="A15" s="2">
        <v>45300</v>
      </c>
      <c r="B15" s="2">
        <v>45300</v>
      </c>
      <c r="C15" s="3" t="s">
        <v>32</v>
      </c>
      <c r="D15" s="4">
        <v>37.5</v>
      </c>
      <c r="E15" s="4" t="s">
        <v>33</v>
      </c>
      <c r="F15" s="3" t="str">
        <f>_xlfn.XLOOKUP(C15,[1]Mapping!A:A,[1]Mapping!B:B," ")</f>
        <v>4E</v>
      </c>
    </row>
    <row r="16" spans="1:6" ht="18" x14ac:dyDescent="0.2">
      <c r="A16" s="2">
        <v>45301</v>
      </c>
      <c r="B16" s="2">
        <v>45301</v>
      </c>
      <c r="C16" s="3" t="s">
        <v>34</v>
      </c>
      <c r="D16" s="4">
        <v>-200</v>
      </c>
      <c r="E16" s="4" t="s">
        <v>35</v>
      </c>
      <c r="F16" s="3" t="str">
        <f>_xlfn.XLOOKUP(C16,[1]Mapping!A:A,[1]Mapping!B:B," ")</f>
        <v>Levantamento</v>
      </c>
    </row>
    <row r="17" spans="1:6" ht="18" x14ac:dyDescent="0.2">
      <c r="A17" s="2">
        <v>45302</v>
      </c>
      <c r="B17" s="2">
        <v>45302</v>
      </c>
      <c r="C17" s="3" t="s">
        <v>36</v>
      </c>
      <c r="D17" s="4">
        <v>-206.32</v>
      </c>
      <c r="E17" s="4">
        <v>967.06</v>
      </c>
      <c r="F17" s="3" t="str">
        <f>_xlfn.XLOOKUP(C17,[1]Mapping!A:A,[1]Mapping!B:B," ")</f>
        <v>Elevadores</v>
      </c>
    </row>
    <row r="18" spans="1:6" ht="18" x14ac:dyDescent="0.2">
      <c r="A18" s="2">
        <v>45305</v>
      </c>
      <c r="B18" s="2">
        <v>45305</v>
      </c>
      <c r="C18" s="3" t="s">
        <v>37</v>
      </c>
      <c r="D18" s="4">
        <v>-7</v>
      </c>
      <c r="E18" s="4">
        <v>960.06</v>
      </c>
      <c r="F18" s="3" t="str">
        <f>_xlfn.XLOOKUP(C18,[1]Mapping!A:A,[1]Mapping!B:B," ")</f>
        <v>Gestao Conta</v>
      </c>
    </row>
    <row r="19" spans="1:6" ht="18" x14ac:dyDescent="0.2">
      <c r="A19" s="2">
        <v>45305</v>
      </c>
      <c r="B19" s="2">
        <v>45305</v>
      </c>
      <c r="C19" s="3" t="s">
        <v>38</v>
      </c>
      <c r="D19" s="4">
        <v>-0.28000000000000003</v>
      </c>
      <c r="E19" s="4">
        <v>959.78</v>
      </c>
      <c r="F19" s="3" t="str">
        <f>_xlfn.XLOOKUP(C19,[1]Mapping!A:A,[1]Mapping!B:B," ")</f>
        <v>Gestao Conta</v>
      </c>
    </row>
    <row r="20" spans="1:6" ht="18" x14ac:dyDescent="0.2">
      <c r="A20" s="2">
        <v>45306</v>
      </c>
      <c r="B20" s="2">
        <v>45306</v>
      </c>
      <c r="C20" s="3" t="s">
        <v>39</v>
      </c>
      <c r="D20" s="4">
        <v>37.5</v>
      </c>
      <c r="E20" s="4">
        <v>997.28</v>
      </c>
      <c r="F20" s="3" t="str">
        <f>_xlfn.XLOOKUP(C20,[1]Mapping!A:A,[1]Mapping!B:B," ")</f>
        <v>6E</v>
      </c>
    </row>
    <row r="21" spans="1:6" ht="18" x14ac:dyDescent="0.2">
      <c r="A21" s="2">
        <v>45306</v>
      </c>
      <c r="B21" s="2">
        <v>45306</v>
      </c>
      <c r="C21" s="3" t="s">
        <v>40</v>
      </c>
      <c r="D21" s="4">
        <v>-273.68</v>
      </c>
      <c r="E21" s="4">
        <v>723.6</v>
      </c>
      <c r="F21" s="3" t="str">
        <f>_xlfn.XLOOKUP(C21,[1]Mapping!A:A,[1]Mapping!B:B," ")</f>
        <v>P. Serviços</v>
      </c>
    </row>
    <row r="22" spans="1:6" ht="18" x14ac:dyDescent="0.2">
      <c r="A22" s="2">
        <v>45316</v>
      </c>
      <c r="B22" s="2">
        <v>45316</v>
      </c>
      <c r="C22" s="3" t="s">
        <v>41</v>
      </c>
      <c r="D22" s="4">
        <v>17.5</v>
      </c>
      <c r="E22" s="4">
        <v>741.1</v>
      </c>
      <c r="F22" s="3" t="str">
        <f>_xlfn.XLOOKUP(C22,[1]Mapping!A:A,[1]Mapping!B:B," ")</f>
        <v>RCD</v>
      </c>
    </row>
    <row r="23" spans="1:6" ht="18" x14ac:dyDescent="0.2">
      <c r="A23" s="2">
        <v>45321</v>
      </c>
      <c r="B23" s="2">
        <v>45321</v>
      </c>
      <c r="C23" s="3" t="s">
        <v>42</v>
      </c>
      <c r="D23" s="4">
        <v>37.5</v>
      </c>
      <c r="E23" s="4">
        <v>778.6</v>
      </c>
      <c r="F23" s="3" t="str">
        <f>_xlfn.XLOOKUP(C23,[1]Mapping!A:A,[1]Mapping!B:B," ")</f>
        <v>5E</v>
      </c>
    </row>
    <row r="24" spans="1:6" ht="18" x14ac:dyDescent="0.2">
      <c r="A24" s="2">
        <v>45322</v>
      </c>
      <c r="B24" s="2">
        <v>45322</v>
      </c>
      <c r="C24" s="3" t="s">
        <v>43</v>
      </c>
      <c r="D24" s="4">
        <v>75</v>
      </c>
      <c r="E24" s="4">
        <v>853.6</v>
      </c>
      <c r="F24" s="3" t="str">
        <f>_xlfn.XLOOKUP(C24,[1]Mapping!A:A,[1]Mapping!B:B," ")</f>
        <v>5D</v>
      </c>
    </row>
    <row r="25" spans="1:6" ht="18" x14ac:dyDescent="0.2">
      <c r="A25" s="2">
        <v>45323</v>
      </c>
      <c r="B25" s="2">
        <v>45323</v>
      </c>
      <c r="C25" s="3" t="s">
        <v>12</v>
      </c>
      <c r="D25" s="4">
        <v>37.5</v>
      </c>
      <c r="E25" s="4">
        <v>891.1</v>
      </c>
      <c r="F25" s="3" t="str">
        <f>_xlfn.XLOOKUP(C25,[1]Mapping!A:A,[1]Mapping!B:B," ")</f>
        <v>3D</v>
      </c>
    </row>
    <row r="26" spans="1:6" ht="18" x14ac:dyDescent="0.2">
      <c r="A26" s="2">
        <v>45323</v>
      </c>
      <c r="B26" s="2">
        <v>45323</v>
      </c>
      <c r="C26" s="3" t="s">
        <v>44</v>
      </c>
      <c r="D26" s="4">
        <v>-1</v>
      </c>
      <c r="E26" s="4">
        <v>890.1</v>
      </c>
      <c r="F26" s="3" t="str">
        <f>_xlfn.XLOOKUP(C26,[1]Mapping!A:A,[1]Mapping!B:B," ")</f>
        <v>Gestao Conta</v>
      </c>
    </row>
    <row r="27" spans="1:6" ht="18" x14ac:dyDescent="0.2">
      <c r="A27" s="2">
        <v>45323</v>
      </c>
      <c r="B27" s="2">
        <v>45323</v>
      </c>
      <c r="C27" s="3" t="s">
        <v>45</v>
      </c>
      <c r="D27" s="4">
        <v>-0.04</v>
      </c>
      <c r="E27" s="4">
        <v>890.06</v>
      </c>
      <c r="F27" s="3" t="str">
        <f>_xlfn.XLOOKUP(C27,[1]Mapping!A:A,[1]Mapping!B:B," ")</f>
        <v>Gestao Conta</v>
      </c>
    </row>
    <row r="28" spans="1:6" ht="18" x14ac:dyDescent="0.2">
      <c r="A28" s="2">
        <v>45323</v>
      </c>
      <c r="B28" s="2">
        <v>45323</v>
      </c>
      <c r="C28" s="3" t="s">
        <v>10</v>
      </c>
      <c r="D28" s="4">
        <v>-60</v>
      </c>
      <c r="E28" s="4">
        <v>830.06</v>
      </c>
      <c r="F28" s="3" t="str">
        <f>_xlfn.XLOOKUP(C28,[1]Mapping!A:A,[1]Mapping!B:B," ")</f>
        <v>Conta Poupança</v>
      </c>
    </row>
    <row r="29" spans="1:6" ht="18" x14ac:dyDescent="0.2">
      <c r="A29" s="2">
        <v>45994</v>
      </c>
      <c r="B29" s="2">
        <v>45994</v>
      </c>
      <c r="C29" s="3" t="s">
        <v>18</v>
      </c>
      <c r="D29" s="4">
        <v>45</v>
      </c>
      <c r="E29" s="4">
        <v>327.51</v>
      </c>
      <c r="F29" s="3" t="str">
        <f>_xlfn.XLOOKUP(C29,[1]Mapping!A:A,[1]Mapping!B:B," ")</f>
        <v>1D</v>
      </c>
    </row>
    <row r="30" spans="1:6" ht="18" x14ac:dyDescent="0.2">
      <c r="A30" s="2">
        <v>45327</v>
      </c>
      <c r="B30" s="2">
        <v>45327</v>
      </c>
      <c r="C30" s="3" t="s">
        <v>26</v>
      </c>
      <c r="D30" s="4">
        <v>50</v>
      </c>
      <c r="E30" s="4">
        <v>917.56</v>
      </c>
      <c r="F30" s="3" t="str">
        <f>_xlfn.XLOOKUP(C30,[1]Mapping!A:A,[1]Mapping!B:B," ")</f>
        <v>RCE</v>
      </c>
    </row>
    <row r="31" spans="1:6" ht="18" x14ac:dyDescent="0.2">
      <c r="A31" s="2">
        <v>45327</v>
      </c>
      <c r="B31" s="2">
        <v>45327</v>
      </c>
      <c r="C31" s="3" t="s">
        <v>28</v>
      </c>
      <c r="D31" s="4">
        <v>37.5</v>
      </c>
      <c r="E31" s="4">
        <v>955.06</v>
      </c>
      <c r="F31" s="3" t="str">
        <f>_xlfn.XLOOKUP(C31,[1]Mapping!A:A,[1]Mapping!B:B," ")</f>
        <v>CV</v>
      </c>
    </row>
    <row r="32" spans="1:6" ht="18" x14ac:dyDescent="0.2">
      <c r="A32" s="2">
        <v>45327</v>
      </c>
      <c r="B32" s="2">
        <v>45327</v>
      </c>
      <c r="C32" s="3" t="s">
        <v>24</v>
      </c>
      <c r="D32" s="4">
        <v>-114.08</v>
      </c>
      <c r="E32" s="4">
        <v>840.98</v>
      </c>
      <c r="F32" s="3" t="str">
        <f>_xlfn.XLOOKUP(C32,[1]Mapping!A:A,[1]Mapping!B:B," ")</f>
        <v>Luz</v>
      </c>
    </row>
    <row r="33" spans="1:6" ht="18" x14ac:dyDescent="0.2">
      <c r="A33" s="2">
        <v>45327</v>
      </c>
      <c r="B33" s="2">
        <v>45327</v>
      </c>
      <c r="C33" s="3" t="s">
        <v>30</v>
      </c>
      <c r="D33" s="4">
        <v>37.5</v>
      </c>
      <c r="E33" s="4">
        <v>878.48</v>
      </c>
      <c r="F33" s="3" t="str">
        <f>_xlfn.XLOOKUP(C33,[1]Mapping!A:A,[1]Mapping!B:B," ")</f>
        <v>4D</v>
      </c>
    </row>
    <row r="34" spans="1:6" ht="18" x14ac:dyDescent="0.2">
      <c r="A34" s="2">
        <v>45328</v>
      </c>
      <c r="B34" s="2">
        <v>45328</v>
      </c>
      <c r="C34" s="3" t="s">
        <v>16</v>
      </c>
      <c r="D34" s="4">
        <v>75</v>
      </c>
      <c r="E34" s="4">
        <v>953.48</v>
      </c>
      <c r="F34" s="3" t="str">
        <f>_xlfn.XLOOKUP(C34,[1]Mapping!A:A,[1]Mapping!B:B," ")</f>
        <v>3E</v>
      </c>
    </row>
    <row r="35" spans="1:6" ht="18" x14ac:dyDescent="0.2">
      <c r="A35" s="2">
        <v>45331</v>
      </c>
      <c r="B35" s="2">
        <v>45331</v>
      </c>
      <c r="C35" s="3" t="s">
        <v>46</v>
      </c>
      <c r="D35" s="4">
        <v>37.5</v>
      </c>
      <c r="E35" s="4">
        <v>990.98</v>
      </c>
      <c r="F35" s="3" t="str">
        <f>_xlfn.XLOOKUP(C35,[1]Mapping!A:A,[1]Mapping!B:B," ")</f>
        <v>6D</v>
      </c>
    </row>
    <row r="36" spans="1:6" ht="18" x14ac:dyDescent="0.2">
      <c r="A36" s="2">
        <v>45336</v>
      </c>
      <c r="B36" s="2">
        <v>45336</v>
      </c>
      <c r="C36" s="3" t="s">
        <v>36</v>
      </c>
      <c r="D36" s="4">
        <v>-206.32</v>
      </c>
      <c r="E36" s="4">
        <v>784.66</v>
      </c>
      <c r="F36" s="3" t="str">
        <f>_xlfn.XLOOKUP(C36,[1]Mapping!A:A,[1]Mapping!B:B," ")</f>
        <v>Elevadores</v>
      </c>
    </row>
    <row r="37" spans="1:6" ht="18" x14ac:dyDescent="0.2">
      <c r="A37" s="2">
        <v>45336</v>
      </c>
      <c r="B37" s="2">
        <v>45336</v>
      </c>
      <c r="C37" s="3" t="s">
        <v>47</v>
      </c>
      <c r="D37" s="4">
        <v>-273.66000000000003</v>
      </c>
      <c r="E37" s="4">
        <v>511</v>
      </c>
      <c r="F37" s="3" t="str">
        <f>_xlfn.XLOOKUP(C37,[1]Mapping!A:A,[1]Mapping!B:B," ")</f>
        <v>P. Serviços</v>
      </c>
    </row>
    <row r="38" spans="1:6" ht="18" x14ac:dyDescent="0.2">
      <c r="A38" s="2">
        <v>45336</v>
      </c>
      <c r="B38" s="2">
        <v>45336</v>
      </c>
      <c r="C38" s="3" t="s">
        <v>37</v>
      </c>
      <c r="D38" s="4">
        <v>-7</v>
      </c>
      <c r="E38" s="4">
        <v>504</v>
      </c>
      <c r="F38" s="3" t="str">
        <f>_xlfn.XLOOKUP(C38,[1]Mapping!A:A,[1]Mapping!B:B," ")</f>
        <v>Gestao Conta</v>
      </c>
    </row>
    <row r="39" spans="1:6" ht="18" x14ac:dyDescent="0.2">
      <c r="A39" s="2">
        <v>45336</v>
      </c>
      <c r="B39" s="2">
        <v>45336</v>
      </c>
      <c r="C39" s="3" t="s">
        <v>38</v>
      </c>
      <c r="D39" s="4">
        <v>-0.28000000000000003</v>
      </c>
      <c r="E39" s="4">
        <v>503.72</v>
      </c>
      <c r="F39" s="3" t="str">
        <f>_xlfn.XLOOKUP(C39,[1]Mapping!A:A,[1]Mapping!B:B," ")</f>
        <v>Gestao Conta</v>
      </c>
    </row>
    <row r="40" spans="1:6" ht="18" x14ac:dyDescent="0.2">
      <c r="A40" s="2">
        <v>45341</v>
      </c>
      <c r="B40" s="2">
        <v>45341</v>
      </c>
      <c r="C40" s="3" t="s">
        <v>32</v>
      </c>
      <c r="D40" s="4">
        <v>37.5</v>
      </c>
      <c r="E40" s="4">
        <v>541.22</v>
      </c>
      <c r="F40" s="3" t="str">
        <f>_xlfn.XLOOKUP(C40,[1]Mapping!A:A,[1]Mapping!B:B," ")</f>
        <v>4E</v>
      </c>
    </row>
    <row r="41" spans="1:6" ht="18" x14ac:dyDescent="0.2">
      <c r="A41" s="2">
        <v>45342</v>
      </c>
      <c r="B41" s="2">
        <v>45342</v>
      </c>
      <c r="C41" s="3" t="s">
        <v>14</v>
      </c>
      <c r="D41" s="4">
        <v>37.5</v>
      </c>
      <c r="E41" s="4">
        <v>578.72</v>
      </c>
      <c r="F41" s="3" t="str">
        <f>_xlfn.XLOOKUP(C41,[1]Mapping!A:A,[1]Mapping!B:B," ")</f>
        <v>1E</v>
      </c>
    </row>
    <row r="42" spans="1:6" ht="18" x14ac:dyDescent="0.2">
      <c r="A42" s="2">
        <v>45343</v>
      </c>
      <c r="B42" s="2">
        <v>45343</v>
      </c>
      <c r="C42" s="3" t="s">
        <v>48</v>
      </c>
      <c r="D42" s="4">
        <v>-140</v>
      </c>
      <c r="E42" s="4">
        <v>438.72</v>
      </c>
      <c r="F42" s="3" t="str">
        <f>_xlfn.XLOOKUP(C42,[1]Mapping!A:A,[1]Mapping!B:B," ")</f>
        <v>P. Serviços</v>
      </c>
    </row>
    <row r="43" spans="1:6" ht="18" x14ac:dyDescent="0.2">
      <c r="A43" s="2">
        <v>45343</v>
      </c>
      <c r="B43" s="2">
        <v>45343</v>
      </c>
      <c r="C43" s="3" t="s">
        <v>49</v>
      </c>
      <c r="D43" s="4">
        <v>-140</v>
      </c>
      <c r="E43" s="4">
        <v>298.72000000000003</v>
      </c>
      <c r="F43" s="3" t="str">
        <f>_xlfn.XLOOKUP(C43,[1]Mapping!A:A,[1]Mapping!B:B," ")</f>
        <v>P. Serviços</v>
      </c>
    </row>
    <row r="44" spans="1:6" ht="18" x14ac:dyDescent="0.2">
      <c r="A44" s="2">
        <v>45343</v>
      </c>
      <c r="B44" s="2">
        <v>45343</v>
      </c>
      <c r="C44" s="3" t="s">
        <v>50</v>
      </c>
      <c r="D44" s="4">
        <v>-51.82</v>
      </c>
      <c r="E44" s="4">
        <v>246.9</v>
      </c>
      <c r="F44" s="3" t="str">
        <f>_xlfn.XLOOKUP(C44,[1]Mapping!A:A,[1]Mapping!B:B," ")</f>
        <v>P. Serviços</v>
      </c>
    </row>
    <row r="45" spans="1:6" ht="18" x14ac:dyDescent="0.2">
      <c r="A45" s="2">
        <v>45348</v>
      </c>
      <c r="B45" s="2">
        <v>45348</v>
      </c>
      <c r="C45" s="3" t="s">
        <v>41</v>
      </c>
      <c r="D45" s="4">
        <v>17.5</v>
      </c>
      <c r="E45" s="4">
        <v>264.39999999999998</v>
      </c>
      <c r="F45" s="3" t="str">
        <f>_xlfn.XLOOKUP(C45,[1]Mapping!A:A,[1]Mapping!B:B," ")</f>
        <v>RCD</v>
      </c>
    </row>
    <row r="46" spans="1:6" ht="18" x14ac:dyDescent="0.2">
      <c r="A46" s="2">
        <v>45350</v>
      </c>
      <c r="B46" s="2">
        <v>45350</v>
      </c>
      <c r="C46" s="3" t="s">
        <v>51</v>
      </c>
      <c r="D46" s="4">
        <v>-56</v>
      </c>
      <c r="E46" s="4">
        <v>208.4</v>
      </c>
      <c r="F46" s="3" t="str">
        <f>_xlfn.XLOOKUP(C46,[1]Mapping!A:A,[1]Mapping!B:B," ")</f>
        <v>pagamento</v>
      </c>
    </row>
    <row r="47" spans="1:6" ht="18" x14ac:dyDescent="0.2">
      <c r="A47" s="2">
        <v>45351</v>
      </c>
      <c r="B47" s="2">
        <v>45351</v>
      </c>
      <c r="C47" s="3" t="s">
        <v>42</v>
      </c>
      <c r="D47" s="4">
        <v>37.5</v>
      </c>
      <c r="E47" s="4">
        <v>245.9</v>
      </c>
      <c r="F47" s="3" t="str">
        <f>_xlfn.XLOOKUP(C47,[1]Mapping!A:A,[1]Mapping!B:B," ")</f>
        <v>5E</v>
      </c>
    </row>
    <row r="48" spans="1:6" ht="18" x14ac:dyDescent="0.2">
      <c r="A48" s="2">
        <v>45352</v>
      </c>
      <c r="B48" s="2">
        <v>45352</v>
      </c>
      <c r="C48" s="3" t="s">
        <v>12</v>
      </c>
      <c r="D48" s="4">
        <v>37.5</v>
      </c>
      <c r="E48" s="4">
        <v>283.39999999999998</v>
      </c>
      <c r="F48" s="3" t="str">
        <f>_xlfn.XLOOKUP(C48,[1]Mapping!A:A,[1]Mapping!B:B," ")</f>
        <v>3D</v>
      </c>
    </row>
    <row r="49" spans="1:6" ht="18" x14ac:dyDescent="0.2">
      <c r="A49" s="2">
        <v>45352</v>
      </c>
      <c r="B49" s="2">
        <v>45352</v>
      </c>
      <c r="C49" s="3" t="s">
        <v>52</v>
      </c>
      <c r="D49" s="4">
        <v>-1</v>
      </c>
      <c r="E49" s="4">
        <v>282.39999999999998</v>
      </c>
      <c r="F49" s="3" t="str">
        <f>_xlfn.XLOOKUP(C49,[1]Mapping!A:A,[1]Mapping!B:B," ")</f>
        <v>Gestao Conta</v>
      </c>
    </row>
    <row r="50" spans="1:6" ht="18" x14ac:dyDescent="0.2">
      <c r="A50" s="2">
        <v>45352</v>
      </c>
      <c r="B50" s="2">
        <v>45352</v>
      </c>
      <c r="C50" s="3" t="s">
        <v>53</v>
      </c>
      <c r="D50" s="4">
        <v>-0.04</v>
      </c>
      <c r="E50" s="4">
        <v>282.36</v>
      </c>
      <c r="F50" s="3" t="str">
        <f>_xlfn.XLOOKUP(C50,[1]Mapping!A:A,[1]Mapping!B:B," ")</f>
        <v>Gestao Conta</v>
      </c>
    </row>
    <row r="51" spans="1:6" ht="18" x14ac:dyDescent="0.2">
      <c r="A51" s="2">
        <v>45352</v>
      </c>
      <c r="B51" s="2">
        <v>45352</v>
      </c>
      <c r="C51" s="3" t="s">
        <v>10</v>
      </c>
      <c r="D51" s="4">
        <v>-60</v>
      </c>
      <c r="E51" s="4">
        <v>222.36</v>
      </c>
      <c r="F51" s="3" t="str">
        <f>_xlfn.XLOOKUP(C51,[1]Mapping!A:A,[1]Mapping!B:B," ")</f>
        <v>Conta Poupança</v>
      </c>
    </row>
    <row r="52" spans="1:6" ht="18" x14ac:dyDescent="0.2">
      <c r="A52" s="2">
        <v>45355</v>
      </c>
      <c r="B52" s="2">
        <v>45355</v>
      </c>
      <c r="C52" s="3" t="s">
        <v>14</v>
      </c>
      <c r="D52" s="4">
        <v>37.5</v>
      </c>
      <c r="E52" s="4">
        <v>259.86</v>
      </c>
      <c r="F52" s="3" t="str">
        <f>_xlfn.XLOOKUP(C52,[1]Mapping!A:A,[1]Mapping!B:B," ")</f>
        <v>1E</v>
      </c>
    </row>
    <row r="53" spans="1:6" ht="18" x14ac:dyDescent="0.2">
      <c r="A53" s="2">
        <v>45355</v>
      </c>
      <c r="B53" s="2">
        <v>45355</v>
      </c>
      <c r="C53" s="3" t="s">
        <v>39</v>
      </c>
      <c r="D53" s="4">
        <v>75</v>
      </c>
      <c r="E53" s="4">
        <v>334.86</v>
      </c>
      <c r="F53" s="3" t="str">
        <f>_xlfn.XLOOKUP(C53,[1]Mapping!A:A,[1]Mapping!B:B," ")</f>
        <v>6E</v>
      </c>
    </row>
    <row r="54" spans="1:6" ht="18" x14ac:dyDescent="0.2">
      <c r="A54" s="2">
        <v>45356</v>
      </c>
      <c r="B54" s="2">
        <v>45356</v>
      </c>
      <c r="C54" s="3" t="s">
        <v>26</v>
      </c>
      <c r="D54" s="4">
        <v>50</v>
      </c>
      <c r="E54" s="4">
        <v>384.86</v>
      </c>
      <c r="F54" s="3" t="str">
        <f>_xlfn.XLOOKUP(C54,[1]Mapping!A:A,[1]Mapping!B:B," ")</f>
        <v>RCE</v>
      </c>
    </row>
    <row r="55" spans="1:6" ht="18" x14ac:dyDescent="0.2">
      <c r="A55" s="2">
        <v>45356</v>
      </c>
      <c r="B55" s="2">
        <v>45356</v>
      </c>
      <c r="C55" s="3" t="s">
        <v>28</v>
      </c>
      <c r="D55" s="4">
        <v>37.5</v>
      </c>
      <c r="E55" s="4">
        <v>422.36</v>
      </c>
      <c r="F55" s="3" t="str">
        <f>_xlfn.XLOOKUP(C55,[1]Mapping!A:A,[1]Mapping!B:B," ")</f>
        <v>CV</v>
      </c>
    </row>
    <row r="56" spans="1:6" ht="18" x14ac:dyDescent="0.2">
      <c r="A56" s="2">
        <v>45965</v>
      </c>
      <c r="B56" s="2">
        <v>45965</v>
      </c>
      <c r="C56" s="3" t="s">
        <v>18</v>
      </c>
      <c r="D56" s="4">
        <v>45</v>
      </c>
      <c r="E56" s="4">
        <v>145.96</v>
      </c>
      <c r="F56" s="3" t="str">
        <f>_xlfn.XLOOKUP(C56,[1]Mapping!A:A,[1]Mapping!B:B," ")</f>
        <v>1D</v>
      </c>
    </row>
    <row r="57" spans="1:6" ht="18" x14ac:dyDescent="0.2">
      <c r="A57" s="2">
        <v>45357</v>
      </c>
      <c r="B57" s="2">
        <v>45357</v>
      </c>
      <c r="C57" s="3" t="s">
        <v>24</v>
      </c>
      <c r="D57" s="4">
        <v>-140.07</v>
      </c>
      <c r="E57" s="4">
        <v>319.79000000000002</v>
      </c>
      <c r="F57" s="3" t="str">
        <f>_xlfn.XLOOKUP(C57,[1]Mapping!A:A,[1]Mapping!B:B," ")</f>
        <v>Luz</v>
      </c>
    </row>
    <row r="58" spans="1:6" ht="18" x14ac:dyDescent="0.2">
      <c r="A58" s="2">
        <v>45358</v>
      </c>
      <c r="B58" s="2">
        <v>45358</v>
      </c>
      <c r="C58" s="3" t="s">
        <v>30</v>
      </c>
      <c r="D58" s="4">
        <v>37.5</v>
      </c>
      <c r="E58" s="4">
        <v>357.29</v>
      </c>
      <c r="F58" s="3" t="str">
        <f>_xlfn.XLOOKUP(C58,[1]Mapping!A:A,[1]Mapping!B:B," ")</f>
        <v>4D</v>
      </c>
    </row>
    <row r="59" spans="1:6" ht="18" x14ac:dyDescent="0.2">
      <c r="A59" s="2">
        <v>45363</v>
      </c>
      <c r="B59" s="2">
        <v>45363</v>
      </c>
      <c r="C59" s="3" t="s">
        <v>36</v>
      </c>
      <c r="D59" s="4">
        <v>-206.32</v>
      </c>
      <c r="E59" s="4">
        <v>150.97</v>
      </c>
      <c r="F59" s="3" t="str">
        <f>_xlfn.XLOOKUP(C59,[1]Mapping!A:A,[1]Mapping!B:B," ")</f>
        <v>Elevadores</v>
      </c>
    </row>
    <row r="60" spans="1:6" ht="18" x14ac:dyDescent="0.2">
      <c r="A60" s="2">
        <v>45365</v>
      </c>
      <c r="B60" s="2">
        <v>45365</v>
      </c>
      <c r="C60" s="3" t="s">
        <v>37</v>
      </c>
      <c r="D60" s="4">
        <v>-7</v>
      </c>
      <c r="E60" s="4">
        <v>143.97</v>
      </c>
      <c r="F60" s="3" t="str">
        <f>_xlfn.XLOOKUP(C60,[1]Mapping!A:A,[1]Mapping!B:B," ")</f>
        <v>Gestao Conta</v>
      </c>
    </row>
    <row r="61" spans="1:6" ht="18" x14ac:dyDescent="0.2">
      <c r="A61" s="2">
        <v>45365</v>
      </c>
      <c r="B61" s="2">
        <v>45365</v>
      </c>
      <c r="C61" s="3" t="s">
        <v>38</v>
      </c>
      <c r="D61" s="4">
        <v>-0.28000000000000003</v>
      </c>
      <c r="E61" s="4">
        <v>143.69</v>
      </c>
      <c r="F61" s="3" t="str">
        <f>_xlfn.XLOOKUP(C61,[1]Mapping!A:A,[1]Mapping!B:B," ")</f>
        <v>Gestao Conta</v>
      </c>
    </row>
    <row r="62" spans="1:6" ht="18" x14ac:dyDescent="0.2">
      <c r="A62" s="2">
        <v>45369</v>
      </c>
      <c r="B62" s="2">
        <v>45369</v>
      </c>
      <c r="C62" s="3" t="s">
        <v>32</v>
      </c>
      <c r="D62" s="4">
        <v>37.5</v>
      </c>
      <c r="E62" s="4">
        <v>181.19</v>
      </c>
      <c r="F62" s="3" t="str">
        <f>_xlfn.XLOOKUP(C62,[1]Mapping!A:A,[1]Mapping!B:B," ")</f>
        <v>4E</v>
      </c>
    </row>
    <row r="63" spans="1:6" ht="18" x14ac:dyDescent="0.2">
      <c r="A63" s="2">
        <v>45376</v>
      </c>
      <c r="B63" s="2">
        <v>45376</v>
      </c>
      <c r="C63" s="3" t="s">
        <v>41</v>
      </c>
      <c r="D63" s="4">
        <v>17.5</v>
      </c>
      <c r="E63" s="4">
        <v>198.69</v>
      </c>
      <c r="F63" s="3" t="str">
        <f>_xlfn.XLOOKUP(C63,[1]Mapping!A:A,[1]Mapping!B:B," ")</f>
        <v>RCD</v>
      </c>
    </row>
    <row r="64" spans="1:6" ht="18" x14ac:dyDescent="0.2">
      <c r="A64" s="2">
        <v>45379</v>
      </c>
      <c r="B64" s="2">
        <v>45379</v>
      </c>
      <c r="C64" s="3" t="s">
        <v>43</v>
      </c>
      <c r="D64" s="4">
        <v>112.5</v>
      </c>
      <c r="E64" s="4">
        <v>311.19</v>
      </c>
      <c r="F64" s="3" t="str">
        <f>_xlfn.XLOOKUP(C64,[1]Mapping!A:A,[1]Mapping!B:B," ")</f>
        <v>5D</v>
      </c>
    </row>
    <row r="65" spans="1:6" ht="18" x14ac:dyDescent="0.2">
      <c r="A65" s="2">
        <v>45381</v>
      </c>
      <c r="B65" s="2">
        <v>45381</v>
      </c>
      <c r="C65" s="3" t="s">
        <v>42</v>
      </c>
      <c r="D65" s="4">
        <v>37.5</v>
      </c>
      <c r="E65" s="4">
        <v>348.69</v>
      </c>
      <c r="F65" s="3" t="str">
        <f>_xlfn.XLOOKUP(C65,[1]Mapping!A:A,[1]Mapping!B:B," ")</f>
        <v>5E</v>
      </c>
    </row>
    <row r="66" spans="1:6" ht="18" x14ac:dyDescent="0.2">
      <c r="A66" s="2">
        <v>45383</v>
      </c>
      <c r="B66" s="2">
        <v>45383</v>
      </c>
      <c r="C66" s="3" t="s">
        <v>54</v>
      </c>
      <c r="D66" s="4">
        <v>-1</v>
      </c>
      <c r="E66" s="4">
        <v>347.69</v>
      </c>
      <c r="F66" s="3" t="str">
        <f>_xlfn.XLOOKUP(C66,[1]Mapping!A:A,[1]Mapping!B:B," ")</f>
        <v>Gestao Conta</v>
      </c>
    </row>
    <row r="67" spans="1:6" ht="18" x14ac:dyDescent="0.2">
      <c r="A67" s="2">
        <v>45383</v>
      </c>
      <c r="B67" s="2">
        <v>45383</v>
      </c>
      <c r="C67" s="3" t="s">
        <v>55</v>
      </c>
      <c r="D67" s="4">
        <v>-0.04</v>
      </c>
      <c r="E67" s="4">
        <v>347.65</v>
      </c>
      <c r="F67" s="3" t="str">
        <f>_xlfn.XLOOKUP(C67,[1]Mapping!A:A,[1]Mapping!B:B," ")</f>
        <v>Gestao Conta</v>
      </c>
    </row>
    <row r="68" spans="1:6" ht="18" x14ac:dyDescent="0.2">
      <c r="A68" s="2">
        <v>45383</v>
      </c>
      <c r="B68" s="2">
        <v>45383</v>
      </c>
      <c r="C68" s="3" t="s">
        <v>10</v>
      </c>
      <c r="D68" s="4">
        <v>-60</v>
      </c>
      <c r="E68" s="4">
        <v>287.64999999999998</v>
      </c>
      <c r="F68" s="3" t="str">
        <f>_xlfn.XLOOKUP(C68,[1]Mapping!A:A,[1]Mapping!B:B," ")</f>
        <v>Conta Poupança</v>
      </c>
    </row>
    <row r="69" spans="1:6" ht="18" x14ac:dyDescent="0.2">
      <c r="A69" s="2">
        <v>45384</v>
      </c>
      <c r="B69" s="2">
        <v>45384</v>
      </c>
      <c r="C69" s="3" t="s">
        <v>12</v>
      </c>
      <c r="D69" s="4">
        <v>37.5</v>
      </c>
      <c r="E69" s="4">
        <v>325.14999999999998</v>
      </c>
      <c r="F69" s="3" t="str">
        <f>_xlfn.XLOOKUP(C69,[1]Mapping!A:A,[1]Mapping!B:B," ")</f>
        <v>3D</v>
      </c>
    </row>
    <row r="70" spans="1:6" ht="18" x14ac:dyDescent="0.2">
      <c r="A70" s="2">
        <v>45932</v>
      </c>
      <c r="B70" s="2">
        <v>45932</v>
      </c>
      <c r="C70" s="3" t="s">
        <v>18</v>
      </c>
      <c r="D70" s="4">
        <v>45</v>
      </c>
      <c r="E70" s="4" t="s">
        <v>56</v>
      </c>
      <c r="F70" s="3" t="str">
        <f>_xlfn.XLOOKUP(C70,[1]Mapping!A:A,[1]Mapping!B:B," ")</f>
        <v>1D</v>
      </c>
    </row>
    <row r="71" spans="1:6" ht="18" x14ac:dyDescent="0.2">
      <c r="A71" s="2">
        <v>45386</v>
      </c>
      <c r="B71" s="2">
        <v>45386</v>
      </c>
      <c r="C71" s="3" t="s">
        <v>24</v>
      </c>
      <c r="D71" s="4">
        <v>-128.33000000000001</v>
      </c>
      <c r="E71" s="4">
        <v>234.32</v>
      </c>
      <c r="F71" s="3" t="str">
        <f>_xlfn.XLOOKUP(C71,[1]Mapping!A:A,[1]Mapping!B:B," ")</f>
        <v>Luz</v>
      </c>
    </row>
    <row r="72" spans="1:6" ht="18" x14ac:dyDescent="0.2">
      <c r="A72" s="2">
        <v>45387</v>
      </c>
      <c r="B72" s="2">
        <v>45387</v>
      </c>
      <c r="C72" s="3" t="s">
        <v>26</v>
      </c>
      <c r="D72" s="4">
        <v>50</v>
      </c>
      <c r="E72" s="4">
        <v>284.32</v>
      </c>
      <c r="F72" s="3" t="str">
        <f>_xlfn.XLOOKUP(C72,[1]Mapping!A:A,[1]Mapping!B:B," ")</f>
        <v>RCE</v>
      </c>
    </row>
    <row r="73" spans="1:6" ht="18" x14ac:dyDescent="0.2">
      <c r="A73" s="2">
        <v>45387</v>
      </c>
      <c r="B73" s="2">
        <v>45387</v>
      </c>
      <c r="C73" s="3" t="s">
        <v>28</v>
      </c>
      <c r="D73" s="4">
        <v>37.5</v>
      </c>
      <c r="E73" s="4">
        <v>321.82</v>
      </c>
      <c r="F73" s="3" t="str">
        <f>_xlfn.XLOOKUP(C73,[1]Mapping!A:A,[1]Mapping!B:B," ")</f>
        <v>CV</v>
      </c>
    </row>
    <row r="74" spans="1:6" ht="18" x14ac:dyDescent="0.2">
      <c r="A74" s="2">
        <v>45387</v>
      </c>
      <c r="B74" s="2">
        <v>45387</v>
      </c>
      <c r="C74" s="3" t="s">
        <v>16</v>
      </c>
      <c r="D74" s="4">
        <v>75</v>
      </c>
      <c r="E74" s="4">
        <v>396.82</v>
      </c>
      <c r="F74" s="3" t="str">
        <f>_xlfn.XLOOKUP(C74,[1]Mapping!A:A,[1]Mapping!B:B," ")</f>
        <v>3E</v>
      </c>
    </row>
    <row r="75" spans="1:6" ht="18" x14ac:dyDescent="0.2">
      <c r="A75" s="2">
        <v>45390</v>
      </c>
      <c r="B75" s="2">
        <v>45390</v>
      </c>
      <c r="C75" s="3" t="s">
        <v>30</v>
      </c>
      <c r="D75" s="4">
        <v>37.5</v>
      </c>
      <c r="E75" s="4">
        <v>434.32</v>
      </c>
      <c r="F75" s="3" t="str">
        <f>_xlfn.XLOOKUP(C75,[1]Mapping!A:A,[1]Mapping!B:B," ")</f>
        <v>4D</v>
      </c>
    </row>
    <row r="76" spans="1:6" ht="18" x14ac:dyDescent="0.2">
      <c r="A76" s="2">
        <v>45391</v>
      </c>
      <c r="B76" s="2">
        <v>45391</v>
      </c>
      <c r="C76" s="3" t="s">
        <v>57</v>
      </c>
      <c r="D76" s="4">
        <v>37.5</v>
      </c>
      <c r="E76" s="4">
        <v>471.82</v>
      </c>
      <c r="F76" s="3" t="str">
        <f>_xlfn.XLOOKUP(C76,[1]Mapping!A:A,[1]Mapping!B:B," ")</f>
        <v>6E</v>
      </c>
    </row>
    <row r="77" spans="1:6" ht="18" x14ac:dyDescent="0.2">
      <c r="A77" s="2">
        <v>45391</v>
      </c>
      <c r="B77" s="2">
        <v>45391</v>
      </c>
      <c r="C77" s="3" t="s">
        <v>14</v>
      </c>
      <c r="D77" s="4">
        <v>37.5</v>
      </c>
      <c r="E77" s="4">
        <v>509.32</v>
      </c>
      <c r="F77" s="3" t="str">
        <f>_xlfn.XLOOKUP(C77,[1]Mapping!A:A,[1]Mapping!B:B," ")</f>
        <v>1E</v>
      </c>
    </row>
    <row r="78" spans="1:6" ht="18" x14ac:dyDescent="0.2">
      <c r="A78" s="2">
        <v>45392</v>
      </c>
      <c r="B78" s="2">
        <v>45392</v>
      </c>
      <c r="C78" s="3" t="s">
        <v>34</v>
      </c>
      <c r="D78" s="4">
        <v>-200</v>
      </c>
      <c r="E78" s="4">
        <v>309.32</v>
      </c>
      <c r="F78" s="3" t="str">
        <f>_xlfn.XLOOKUP(C78,[1]Mapping!A:A,[1]Mapping!B:B," ")</f>
        <v>Levantamento</v>
      </c>
    </row>
    <row r="79" spans="1:6" ht="18" x14ac:dyDescent="0.2">
      <c r="A79" s="2">
        <v>45392</v>
      </c>
      <c r="B79" s="2">
        <v>45392</v>
      </c>
      <c r="C79" s="3" t="s">
        <v>34</v>
      </c>
      <c r="D79" s="4">
        <v>-20</v>
      </c>
      <c r="E79" s="4">
        <v>289.32</v>
      </c>
      <c r="F79" s="3" t="str">
        <f>_xlfn.XLOOKUP(C79,[1]Mapping!A:A,[1]Mapping!B:B," ")</f>
        <v>Levantamento</v>
      </c>
    </row>
    <row r="80" spans="1:6" ht="18" x14ac:dyDescent="0.2">
      <c r="A80" s="2">
        <v>45393</v>
      </c>
      <c r="B80" s="2">
        <v>45393</v>
      </c>
      <c r="C80" s="3" t="s">
        <v>36</v>
      </c>
      <c r="D80" s="4">
        <v>-206.32</v>
      </c>
      <c r="E80" s="4">
        <v>83</v>
      </c>
      <c r="F80" s="3" t="str">
        <f>_xlfn.XLOOKUP(C80,[1]Mapping!A:A,[1]Mapping!B:B," ")</f>
        <v>Elevadores</v>
      </c>
    </row>
    <row r="81" spans="1:6" ht="18" x14ac:dyDescent="0.2">
      <c r="A81" s="2">
        <v>45393</v>
      </c>
      <c r="B81" s="2">
        <v>45393</v>
      </c>
      <c r="C81" s="3" t="s">
        <v>32</v>
      </c>
      <c r="D81" s="4">
        <v>37.5</v>
      </c>
      <c r="E81" s="4">
        <v>120.5</v>
      </c>
      <c r="F81" s="3" t="str">
        <f>_xlfn.XLOOKUP(C81,[1]Mapping!A:A,[1]Mapping!B:B," ")</f>
        <v>4E</v>
      </c>
    </row>
    <row r="82" spans="1:6" ht="18" x14ac:dyDescent="0.2">
      <c r="A82" s="2">
        <v>45396</v>
      </c>
      <c r="B82" s="2">
        <v>45396</v>
      </c>
      <c r="C82" s="3" t="s">
        <v>37</v>
      </c>
      <c r="D82" s="4">
        <v>-7</v>
      </c>
      <c r="E82" s="4">
        <v>113.5</v>
      </c>
      <c r="F82" s="3" t="str">
        <f>_xlfn.XLOOKUP(C82,[1]Mapping!A:A,[1]Mapping!B:B," ")</f>
        <v>Gestao Conta</v>
      </c>
    </row>
    <row r="83" spans="1:6" ht="18" x14ac:dyDescent="0.2">
      <c r="A83" s="2">
        <v>45396</v>
      </c>
      <c r="B83" s="2">
        <v>45396</v>
      </c>
      <c r="C83" s="3" t="s">
        <v>38</v>
      </c>
      <c r="D83" s="4">
        <v>-0.28000000000000003</v>
      </c>
      <c r="E83" s="4">
        <v>113.22</v>
      </c>
      <c r="F83" s="3" t="str">
        <f>_xlfn.XLOOKUP(C83,[1]Mapping!A:A,[1]Mapping!B:B," ")</f>
        <v>Gestao Conta</v>
      </c>
    </row>
    <row r="84" spans="1:6" ht="18" x14ac:dyDescent="0.2">
      <c r="A84" s="2">
        <v>45411</v>
      </c>
      <c r="B84" s="2">
        <v>45411</v>
      </c>
      <c r="C84" s="3" t="s">
        <v>41</v>
      </c>
      <c r="D84" s="4">
        <v>17.5</v>
      </c>
      <c r="E84" s="4">
        <v>130.72</v>
      </c>
      <c r="F84" s="3" t="str">
        <f>_xlfn.XLOOKUP(C84,[1]Mapping!A:A,[1]Mapping!B:B," ")</f>
        <v>RCD</v>
      </c>
    </row>
    <row r="85" spans="1:6" ht="18" x14ac:dyDescent="0.2">
      <c r="A85" s="2">
        <v>45412</v>
      </c>
      <c r="B85" s="2">
        <v>45412</v>
      </c>
      <c r="C85" s="3" t="s">
        <v>42</v>
      </c>
      <c r="D85" s="4">
        <v>37.5</v>
      </c>
      <c r="E85" s="4">
        <v>168.22</v>
      </c>
      <c r="F85" s="3" t="str">
        <f>_xlfn.XLOOKUP(C85,[1]Mapping!A:A,[1]Mapping!B:B," ")</f>
        <v>5E</v>
      </c>
    </row>
    <row r="86" spans="1:6" ht="18" x14ac:dyDescent="0.2">
      <c r="A86" s="2">
        <v>45413</v>
      </c>
      <c r="B86" s="2">
        <v>45413</v>
      </c>
      <c r="C86" s="3" t="s">
        <v>58</v>
      </c>
      <c r="D86" s="4">
        <v>-1</v>
      </c>
      <c r="E86" s="4">
        <v>167.22</v>
      </c>
      <c r="F86" s="3" t="str">
        <f>_xlfn.XLOOKUP(C86,[1]Mapping!A:A,[1]Mapping!B:B," ")</f>
        <v>Gestao Conta</v>
      </c>
    </row>
    <row r="87" spans="1:6" ht="18" x14ac:dyDescent="0.2">
      <c r="A87" s="2">
        <v>45413</v>
      </c>
      <c r="B87" s="2">
        <v>45413</v>
      </c>
      <c r="C87" s="3" t="s">
        <v>59</v>
      </c>
      <c r="D87" s="4">
        <v>-0.04</v>
      </c>
      <c r="E87" s="4">
        <v>167.18</v>
      </c>
      <c r="F87" s="3" t="str">
        <f>_xlfn.XLOOKUP(C87,[1]Mapping!A:A,[1]Mapping!B:B," ")</f>
        <v>Gestao Conta</v>
      </c>
    </row>
    <row r="88" spans="1:6" ht="18" x14ac:dyDescent="0.2">
      <c r="A88" s="2">
        <v>45413</v>
      </c>
      <c r="B88" s="2">
        <v>45413</v>
      </c>
      <c r="C88" s="3" t="s">
        <v>10</v>
      </c>
      <c r="D88" s="4">
        <v>-60</v>
      </c>
      <c r="E88" s="4">
        <v>107.18</v>
      </c>
      <c r="F88" s="3" t="str">
        <f>_xlfn.XLOOKUP(C88,[1]Mapping!A:A,[1]Mapping!B:B," ")</f>
        <v>Conta Poupança</v>
      </c>
    </row>
    <row r="89" spans="1:6" ht="18" x14ac:dyDescent="0.2">
      <c r="A89" s="2">
        <v>45414</v>
      </c>
      <c r="B89" s="2">
        <v>45414</v>
      </c>
      <c r="C89" s="3" t="s">
        <v>12</v>
      </c>
      <c r="D89" s="4">
        <v>37.5</v>
      </c>
      <c r="E89" s="4">
        <v>144.68</v>
      </c>
      <c r="F89" s="3" t="str">
        <f>_xlfn.XLOOKUP(C89,[1]Mapping!A:A,[1]Mapping!B:B," ")</f>
        <v>3D</v>
      </c>
    </row>
    <row r="90" spans="1:6" ht="18" x14ac:dyDescent="0.2">
      <c r="A90" s="2">
        <v>45902</v>
      </c>
      <c r="B90" s="2">
        <v>45902</v>
      </c>
      <c r="C90" s="3" t="s">
        <v>18</v>
      </c>
      <c r="D90" s="4">
        <v>45</v>
      </c>
      <c r="E90" s="4" t="s">
        <v>60</v>
      </c>
      <c r="F90" s="3" t="str">
        <f>_xlfn.XLOOKUP(C90,[1]Mapping!A:A,[1]Mapping!B:B," ")</f>
        <v>1D</v>
      </c>
    </row>
    <row r="91" spans="1:6" ht="18" x14ac:dyDescent="0.2">
      <c r="A91" s="2">
        <v>45417</v>
      </c>
      <c r="B91" s="2">
        <v>45417</v>
      </c>
      <c r="C91" s="3" t="s">
        <v>28</v>
      </c>
      <c r="D91" s="4">
        <v>37.5</v>
      </c>
      <c r="E91" s="4">
        <v>269.68</v>
      </c>
      <c r="F91" s="3" t="str">
        <f>_xlfn.XLOOKUP(C91,[1]Mapping!A:A,[1]Mapping!B:B," ")</f>
        <v>CV</v>
      </c>
    </row>
    <row r="92" spans="1:6" ht="18" x14ac:dyDescent="0.2">
      <c r="A92" s="2">
        <v>45417</v>
      </c>
      <c r="B92" s="2">
        <v>45417</v>
      </c>
      <c r="C92" s="3" t="s">
        <v>26</v>
      </c>
      <c r="D92" s="4">
        <v>50</v>
      </c>
      <c r="E92" s="4">
        <v>232.18</v>
      </c>
      <c r="F92" s="3" t="str">
        <f>_xlfn.XLOOKUP(C92,[1]Mapping!A:A,[1]Mapping!B:B," ")</f>
        <v>RCE</v>
      </c>
    </row>
    <row r="93" spans="1:6" ht="18" x14ac:dyDescent="0.2">
      <c r="A93" s="2">
        <v>45418</v>
      </c>
      <c r="B93" s="2">
        <v>45418</v>
      </c>
      <c r="C93" s="3" t="s">
        <v>24</v>
      </c>
      <c r="D93" s="4">
        <v>-137.08000000000001</v>
      </c>
      <c r="E93" s="4">
        <v>132.6</v>
      </c>
      <c r="F93" s="3" t="str">
        <f>_xlfn.XLOOKUP(C93,[1]Mapping!A:A,[1]Mapping!B:B," ")</f>
        <v>Luz</v>
      </c>
    </row>
    <row r="94" spans="1:6" ht="18" x14ac:dyDescent="0.2">
      <c r="A94" s="2">
        <v>45418</v>
      </c>
      <c r="B94" s="2">
        <v>45418</v>
      </c>
      <c r="C94" s="3" t="s">
        <v>30</v>
      </c>
      <c r="D94" s="4">
        <v>37.5</v>
      </c>
      <c r="E94" s="4">
        <v>170.1</v>
      </c>
      <c r="F94" s="3" t="str">
        <f>_xlfn.XLOOKUP(C94,[1]Mapping!A:A,[1]Mapping!B:B," ")</f>
        <v>4D</v>
      </c>
    </row>
    <row r="95" spans="1:6" ht="18" x14ac:dyDescent="0.2">
      <c r="A95" s="2">
        <v>45419</v>
      </c>
      <c r="B95" s="2">
        <v>45419</v>
      </c>
      <c r="C95" s="3" t="s">
        <v>61</v>
      </c>
      <c r="D95" s="4">
        <v>37.5</v>
      </c>
      <c r="E95" s="4">
        <v>207.6</v>
      </c>
      <c r="F95" s="3" t="str">
        <f>_xlfn.XLOOKUP(C95,[1]Mapping!A:A,[1]Mapping!B:B," ")</f>
        <v>6D</v>
      </c>
    </row>
    <row r="96" spans="1:6" ht="18" x14ac:dyDescent="0.2">
      <c r="A96" s="2">
        <v>45420</v>
      </c>
      <c r="B96" s="2">
        <v>45420</v>
      </c>
      <c r="C96" s="3" t="s">
        <v>62</v>
      </c>
      <c r="D96" s="4">
        <v>450</v>
      </c>
      <c r="E96" s="4">
        <v>657.6</v>
      </c>
      <c r="F96" s="3" t="str">
        <f>_xlfn.XLOOKUP(C96,[1]Mapping!A:A,[1]Mapping!B:B," ")</f>
        <v>2E</v>
      </c>
    </row>
    <row r="97" spans="1:6" ht="18" x14ac:dyDescent="0.2">
      <c r="A97" s="2">
        <v>45424</v>
      </c>
      <c r="B97" s="2">
        <v>45424</v>
      </c>
      <c r="C97" s="3" t="s">
        <v>63</v>
      </c>
      <c r="D97" s="4">
        <v>37.5</v>
      </c>
      <c r="E97" s="4">
        <v>695.1</v>
      </c>
      <c r="F97" s="3" t="str">
        <f>_xlfn.XLOOKUP(C97,[1]Mapping!A:A,[1]Mapping!B:B," ")</f>
        <v>6E</v>
      </c>
    </row>
    <row r="98" spans="1:6" ht="18" x14ac:dyDescent="0.2">
      <c r="A98" s="2">
        <v>45425</v>
      </c>
      <c r="B98" s="2">
        <v>45425</v>
      </c>
      <c r="C98" s="3" t="s">
        <v>36</v>
      </c>
      <c r="D98" s="4">
        <v>-206.32</v>
      </c>
      <c r="E98" s="4">
        <v>488.78</v>
      </c>
      <c r="F98" s="3" t="str">
        <f>_xlfn.XLOOKUP(C98,[1]Mapping!A:A,[1]Mapping!B:B," ")</f>
        <v>Elevadores</v>
      </c>
    </row>
    <row r="99" spans="1:6" ht="18" x14ac:dyDescent="0.2">
      <c r="A99" s="2">
        <v>45425</v>
      </c>
      <c r="B99" s="2">
        <v>45425</v>
      </c>
      <c r="C99" s="3" t="s">
        <v>32</v>
      </c>
      <c r="D99" s="4">
        <v>37.5</v>
      </c>
      <c r="E99" s="4">
        <v>526.28</v>
      </c>
      <c r="F99" s="3" t="str">
        <f>_xlfn.XLOOKUP(C99,[1]Mapping!A:A,[1]Mapping!B:B," ")</f>
        <v>4E</v>
      </c>
    </row>
    <row r="100" spans="1:6" ht="18" x14ac:dyDescent="0.2">
      <c r="A100" s="2">
        <v>45426</v>
      </c>
      <c r="B100" s="2">
        <v>45426</v>
      </c>
      <c r="C100" s="3" t="s">
        <v>37</v>
      </c>
      <c r="D100" s="4">
        <v>-7</v>
      </c>
      <c r="E100" s="4">
        <v>556.78</v>
      </c>
      <c r="F100" s="3" t="str">
        <f>_xlfn.XLOOKUP(C100,[1]Mapping!A:A,[1]Mapping!B:B," ")</f>
        <v>Gestao Conta</v>
      </c>
    </row>
    <row r="101" spans="1:6" ht="18" x14ac:dyDescent="0.2">
      <c r="A101" s="2">
        <v>45426</v>
      </c>
      <c r="B101" s="2">
        <v>45426</v>
      </c>
      <c r="C101" s="3" t="s">
        <v>38</v>
      </c>
      <c r="D101" s="4">
        <v>-0.28000000000000003</v>
      </c>
      <c r="E101" s="4">
        <v>556.5</v>
      </c>
      <c r="F101" s="3" t="str">
        <f>_xlfn.XLOOKUP(C101,[1]Mapping!A:A,[1]Mapping!B:B," ")</f>
        <v>Gestao Conta</v>
      </c>
    </row>
    <row r="102" spans="1:6" ht="18" x14ac:dyDescent="0.2">
      <c r="A102" s="2">
        <v>45426</v>
      </c>
      <c r="B102" s="2">
        <v>45426</v>
      </c>
      <c r="C102" s="3" t="s">
        <v>14</v>
      </c>
      <c r="D102" s="4">
        <v>37.5</v>
      </c>
      <c r="E102" s="4">
        <v>563.78</v>
      </c>
      <c r="F102" s="3" t="str">
        <f>_xlfn.XLOOKUP(C102,[1]Mapping!A:A,[1]Mapping!B:B," ")</f>
        <v>1E</v>
      </c>
    </row>
    <row r="103" spans="1:6" ht="18" x14ac:dyDescent="0.2">
      <c r="A103" s="2">
        <v>45441</v>
      </c>
      <c r="B103" s="2">
        <v>45441</v>
      </c>
      <c r="C103" s="3" t="s">
        <v>41</v>
      </c>
      <c r="D103" s="4">
        <v>20</v>
      </c>
      <c r="E103" s="4">
        <v>576.5</v>
      </c>
      <c r="F103" s="3" t="str">
        <f>_xlfn.XLOOKUP(C103,[1]Mapping!A:A,[1]Mapping!B:B," ")</f>
        <v>RCD</v>
      </c>
    </row>
    <row r="104" spans="1:6" ht="18" x14ac:dyDescent="0.2">
      <c r="A104" s="2">
        <v>45442</v>
      </c>
      <c r="B104" s="2">
        <v>45442</v>
      </c>
      <c r="C104" s="3" t="s">
        <v>42</v>
      </c>
      <c r="D104" s="4">
        <v>37.5</v>
      </c>
      <c r="E104" s="4">
        <v>614</v>
      </c>
      <c r="F104" s="3" t="str">
        <f>_xlfn.XLOOKUP(C104,[1]Mapping!A:A,[1]Mapping!B:B," ")</f>
        <v>5E</v>
      </c>
    </row>
    <row r="105" spans="1:6" ht="18" x14ac:dyDescent="0.2">
      <c r="A105" s="2">
        <v>45444</v>
      </c>
      <c r="B105" s="2">
        <v>45444</v>
      </c>
      <c r="C105" s="3" t="s">
        <v>64</v>
      </c>
      <c r="D105" s="4">
        <v>-1</v>
      </c>
      <c r="E105" s="4">
        <v>658</v>
      </c>
      <c r="F105" s="3" t="str">
        <f>_xlfn.XLOOKUP(C105,[1]Mapping!A:A,[1]Mapping!B:B," ")</f>
        <v>Gestao Conta</v>
      </c>
    </row>
    <row r="106" spans="1:6" ht="18" x14ac:dyDescent="0.2">
      <c r="A106" s="2">
        <v>45444</v>
      </c>
      <c r="B106" s="2">
        <v>45444</v>
      </c>
      <c r="C106" s="3" t="s">
        <v>65</v>
      </c>
      <c r="D106" s="4">
        <v>-0.04</v>
      </c>
      <c r="E106" s="4">
        <v>657.96</v>
      </c>
      <c r="F106" s="3" t="str">
        <f>_xlfn.XLOOKUP(C106,[1]Mapping!A:A,[1]Mapping!B:B," ")</f>
        <v>Gestao Conta</v>
      </c>
    </row>
    <row r="107" spans="1:6" ht="18" x14ac:dyDescent="0.2">
      <c r="A107" s="2">
        <v>45444</v>
      </c>
      <c r="B107" s="2">
        <v>45444</v>
      </c>
      <c r="C107" s="3" t="s">
        <v>10</v>
      </c>
      <c r="D107" s="4">
        <v>-60</v>
      </c>
      <c r="E107" s="4">
        <v>597.96</v>
      </c>
      <c r="F107" s="3" t="str">
        <f>_xlfn.XLOOKUP(C107,[1]Mapping!A:A,[1]Mapping!B:B," ")</f>
        <v>Conta Poupança</v>
      </c>
    </row>
    <row r="108" spans="1:6" ht="18" x14ac:dyDescent="0.2">
      <c r="A108" s="2">
        <v>45444</v>
      </c>
      <c r="B108" s="2">
        <v>45444</v>
      </c>
      <c r="C108" s="3" t="s">
        <v>66</v>
      </c>
      <c r="D108" s="4">
        <v>45</v>
      </c>
      <c r="E108" s="4">
        <v>659</v>
      </c>
      <c r="F108" s="3" t="str">
        <f>_xlfn.XLOOKUP(C108,[1]Mapping!A:A,[1]Mapping!B:B," ")</f>
        <v>5D</v>
      </c>
    </row>
    <row r="109" spans="1:6" ht="18" x14ac:dyDescent="0.2">
      <c r="A109" s="2">
        <v>45446</v>
      </c>
      <c r="B109" s="2">
        <v>45446</v>
      </c>
      <c r="C109" s="3" t="s">
        <v>12</v>
      </c>
      <c r="D109" s="4">
        <v>45</v>
      </c>
      <c r="E109" s="4">
        <v>642.96</v>
      </c>
      <c r="F109" s="3" t="str">
        <f>_xlfn.XLOOKUP(C109,[1]Mapping!A:A,[1]Mapping!B:B," ")</f>
        <v>3D</v>
      </c>
    </row>
    <row r="110" spans="1:6" ht="18" x14ac:dyDescent="0.2">
      <c r="A110" s="2">
        <v>45874</v>
      </c>
      <c r="B110" s="2">
        <v>45874</v>
      </c>
      <c r="C110" s="3" t="s">
        <v>18</v>
      </c>
      <c r="D110" s="4">
        <v>45</v>
      </c>
      <c r="E110" s="4" t="s">
        <v>67</v>
      </c>
      <c r="F110" s="3" t="str">
        <f>_xlfn.XLOOKUP(C110,[1]Mapping!A:A,[1]Mapping!B:B," ")</f>
        <v>1D</v>
      </c>
    </row>
    <row r="111" spans="1:6" ht="18" x14ac:dyDescent="0.2">
      <c r="A111" s="2">
        <v>45448</v>
      </c>
      <c r="B111" s="2">
        <v>45448</v>
      </c>
      <c r="C111" s="3" t="s">
        <v>30</v>
      </c>
      <c r="D111" s="4">
        <v>45</v>
      </c>
      <c r="E111" s="4">
        <v>827.96</v>
      </c>
      <c r="F111" s="3" t="str">
        <f>_xlfn.XLOOKUP(C111,[1]Mapping!A:A,[1]Mapping!B:B," ")</f>
        <v>4D</v>
      </c>
    </row>
    <row r="112" spans="1:6" ht="18" x14ac:dyDescent="0.2">
      <c r="A112" s="2">
        <v>45448</v>
      </c>
      <c r="B112" s="2">
        <v>45448</v>
      </c>
      <c r="C112" s="3" t="s">
        <v>28</v>
      </c>
      <c r="D112" s="4">
        <v>45</v>
      </c>
      <c r="E112" s="4">
        <v>737.96</v>
      </c>
      <c r="F112" s="3" t="str">
        <f>_xlfn.XLOOKUP(C112,[1]Mapping!A:A,[1]Mapping!B:B," ")</f>
        <v>CV</v>
      </c>
    </row>
    <row r="113" spans="1:6" ht="18" x14ac:dyDescent="0.2">
      <c r="A113" s="2">
        <v>45448</v>
      </c>
      <c r="B113" s="2">
        <v>45448</v>
      </c>
      <c r="C113" s="3" t="s">
        <v>26</v>
      </c>
      <c r="D113" s="4">
        <v>50</v>
      </c>
      <c r="E113" s="4">
        <v>692.96</v>
      </c>
      <c r="F113" s="3" t="str">
        <f>_xlfn.XLOOKUP(C113,[1]Mapping!A:A,[1]Mapping!B:B," ")</f>
        <v>RCE</v>
      </c>
    </row>
    <row r="114" spans="1:6" ht="18" x14ac:dyDescent="0.2">
      <c r="A114" s="2">
        <v>45449</v>
      </c>
      <c r="B114" s="2">
        <v>45449</v>
      </c>
      <c r="C114" s="3" t="s">
        <v>24</v>
      </c>
      <c r="D114" s="4">
        <v>-129.29</v>
      </c>
      <c r="E114" s="4">
        <v>698.67</v>
      </c>
      <c r="F114" s="3" t="str">
        <f>_xlfn.XLOOKUP(C114,[1]Mapping!A:A,[1]Mapping!B:B," ")</f>
        <v>Luz</v>
      </c>
    </row>
    <row r="115" spans="1:6" ht="18" x14ac:dyDescent="0.2">
      <c r="A115" s="2">
        <v>45449</v>
      </c>
      <c r="B115" s="2">
        <v>45449</v>
      </c>
      <c r="C115" s="3" t="s">
        <v>39</v>
      </c>
      <c r="D115" s="4">
        <v>45</v>
      </c>
      <c r="E115" s="4">
        <v>743.67</v>
      </c>
      <c r="F115" s="3" t="str">
        <f>_xlfn.XLOOKUP(C115,[1]Mapping!A:A,[1]Mapping!B:B," ")</f>
        <v>6E</v>
      </c>
    </row>
    <row r="116" spans="1:6" ht="18" x14ac:dyDescent="0.2">
      <c r="A116" s="2">
        <v>45455</v>
      </c>
      <c r="B116" s="2">
        <v>45455</v>
      </c>
      <c r="C116" s="3" t="s">
        <v>36</v>
      </c>
      <c r="D116" s="4">
        <v>-206.32</v>
      </c>
      <c r="E116" s="4">
        <v>537.35</v>
      </c>
      <c r="F116" s="3" t="str">
        <f>_xlfn.XLOOKUP(C116,[1]Mapping!A:A,[1]Mapping!B:B," ")</f>
        <v>Elevadores</v>
      </c>
    </row>
    <row r="117" spans="1:6" ht="18" x14ac:dyDescent="0.2">
      <c r="A117" s="2">
        <v>45456</v>
      </c>
      <c r="B117" s="2">
        <v>45456</v>
      </c>
      <c r="C117" s="3" t="s">
        <v>32</v>
      </c>
      <c r="D117" s="4">
        <v>45</v>
      </c>
      <c r="E117" s="4">
        <v>582.35</v>
      </c>
      <c r="F117" s="3" t="str">
        <f>_xlfn.XLOOKUP(C117,[1]Mapping!A:A,[1]Mapping!B:B," ")</f>
        <v>4E</v>
      </c>
    </row>
    <row r="118" spans="1:6" ht="18" x14ac:dyDescent="0.2">
      <c r="A118" s="2">
        <v>45457</v>
      </c>
      <c r="B118" s="2">
        <v>45457</v>
      </c>
      <c r="C118" s="3" t="s">
        <v>37</v>
      </c>
      <c r="D118" s="4">
        <v>-7</v>
      </c>
      <c r="E118" s="4">
        <v>575.35</v>
      </c>
      <c r="F118" s="3" t="str">
        <f>_xlfn.XLOOKUP(C118,[1]Mapping!A:A,[1]Mapping!B:B," ")</f>
        <v>Gestao Conta</v>
      </c>
    </row>
    <row r="119" spans="1:6" ht="18" x14ac:dyDescent="0.2">
      <c r="A119" s="2">
        <v>45457</v>
      </c>
      <c r="B119" s="2">
        <v>45457</v>
      </c>
      <c r="C119" s="3" t="s">
        <v>38</v>
      </c>
      <c r="D119" s="4">
        <v>-0.28000000000000003</v>
      </c>
      <c r="E119" s="4">
        <v>575.07000000000005</v>
      </c>
      <c r="F119" s="3" t="str">
        <f>_xlfn.XLOOKUP(C119,[1]Mapping!A:A,[1]Mapping!B:B," ")</f>
        <v>Gestao Conta</v>
      </c>
    </row>
    <row r="120" spans="1:6" ht="18" x14ac:dyDescent="0.2">
      <c r="A120" s="2">
        <v>45470</v>
      </c>
      <c r="B120" s="2">
        <v>45470</v>
      </c>
      <c r="C120" s="3" t="s">
        <v>41</v>
      </c>
      <c r="D120" s="4">
        <v>20</v>
      </c>
      <c r="E120" s="4">
        <v>595.07000000000005</v>
      </c>
      <c r="F120" s="3" t="str">
        <f>_xlfn.XLOOKUP(C120,[1]Mapping!A:A,[1]Mapping!B:B," ")</f>
        <v>RCD</v>
      </c>
    </row>
    <row r="121" spans="1:6" ht="18" x14ac:dyDescent="0.2">
      <c r="A121" s="2">
        <v>45473</v>
      </c>
      <c r="B121" s="2">
        <v>45473</v>
      </c>
      <c r="C121" s="3" t="s">
        <v>42</v>
      </c>
      <c r="D121" s="4">
        <v>45</v>
      </c>
      <c r="E121" s="4">
        <v>640.07000000000005</v>
      </c>
      <c r="F121" s="3" t="str">
        <f>_xlfn.XLOOKUP(C121,[1]Mapping!A:A,[1]Mapping!B:B," ")</f>
        <v>5E</v>
      </c>
    </row>
    <row r="122" spans="1:6" ht="18" x14ac:dyDescent="0.2">
      <c r="A122" s="2">
        <v>45474</v>
      </c>
      <c r="B122" s="2">
        <v>45474</v>
      </c>
      <c r="C122" s="3" t="s">
        <v>68</v>
      </c>
      <c r="D122" s="4">
        <v>-1</v>
      </c>
      <c r="E122" s="4">
        <v>684.07</v>
      </c>
      <c r="F122" s="3" t="str">
        <f>_xlfn.XLOOKUP(C122,[1]Mapping!A:A,[1]Mapping!B:B," ")</f>
        <v>Gestao Conta</v>
      </c>
    </row>
    <row r="123" spans="1:6" ht="18" x14ac:dyDescent="0.2">
      <c r="A123" s="2">
        <v>45474</v>
      </c>
      <c r="B123" s="2">
        <v>45474</v>
      </c>
      <c r="C123" s="3" t="s">
        <v>69</v>
      </c>
      <c r="D123" s="4">
        <v>-0.04</v>
      </c>
      <c r="E123" s="4">
        <v>684.03</v>
      </c>
      <c r="F123" s="3" t="str">
        <f>_xlfn.XLOOKUP(C123,[1]Mapping!A:A,[1]Mapping!B:B," ")</f>
        <v>Gestao Conta</v>
      </c>
    </row>
    <row r="124" spans="1:6" ht="18" x14ac:dyDescent="0.2">
      <c r="A124" s="2">
        <v>45474</v>
      </c>
      <c r="B124" s="2">
        <v>45474</v>
      </c>
      <c r="C124" s="3" t="s">
        <v>10</v>
      </c>
      <c r="D124" s="4">
        <v>-60</v>
      </c>
      <c r="E124" s="4">
        <v>624.03</v>
      </c>
      <c r="F124" s="3" t="str">
        <f>_xlfn.XLOOKUP(C124,[1]Mapping!A:A,[1]Mapping!B:B," ")</f>
        <v>Conta Poupança</v>
      </c>
    </row>
    <row r="125" spans="1:6" ht="18" x14ac:dyDescent="0.2">
      <c r="A125" s="2">
        <v>45474</v>
      </c>
      <c r="B125" s="2">
        <v>45474</v>
      </c>
      <c r="C125" s="3" t="s">
        <v>66</v>
      </c>
      <c r="D125" s="4">
        <v>45</v>
      </c>
      <c r="E125" s="4">
        <v>685.07</v>
      </c>
      <c r="F125" s="3" t="str">
        <f>_xlfn.XLOOKUP(C125,[1]Mapping!A:A,[1]Mapping!B:B," ")</f>
        <v>5D</v>
      </c>
    </row>
    <row r="126" spans="1:6" ht="18" x14ac:dyDescent="0.2">
      <c r="A126" s="2">
        <v>45841</v>
      </c>
      <c r="B126" s="2">
        <v>45841</v>
      </c>
      <c r="C126" s="3" t="s">
        <v>18</v>
      </c>
      <c r="D126" s="4">
        <v>45</v>
      </c>
      <c r="E126" s="4" t="s">
        <v>70</v>
      </c>
      <c r="F126" s="3" t="str">
        <f>_xlfn.XLOOKUP(C126,[1]Mapping!A:A,[1]Mapping!B:B," ")</f>
        <v>1D</v>
      </c>
    </row>
    <row r="127" spans="1:6" ht="18" x14ac:dyDescent="0.2">
      <c r="A127" s="2">
        <v>45475</v>
      </c>
      <c r="B127" s="2">
        <v>45475</v>
      </c>
      <c r="C127" s="3" t="s">
        <v>14</v>
      </c>
      <c r="D127" s="4">
        <v>90</v>
      </c>
      <c r="E127" s="4">
        <v>804.03</v>
      </c>
      <c r="F127" s="3" t="str">
        <f>_xlfn.XLOOKUP(C127,[1]Mapping!A:A,[1]Mapping!B:B," ")</f>
        <v>1E</v>
      </c>
    </row>
    <row r="128" spans="1:6" ht="18" x14ac:dyDescent="0.2">
      <c r="A128" s="2">
        <v>45475</v>
      </c>
      <c r="B128" s="2">
        <v>45475</v>
      </c>
      <c r="C128" s="3" t="s">
        <v>12</v>
      </c>
      <c r="D128" s="4">
        <v>45</v>
      </c>
      <c r="E128" s="4">
        <v>669.03</v>
      </c>
      <c r="F128" s="3" t="str">
        <f>_xlfn.XLOOKUP(C128,[1]Mapping!A:A,[1]Mapping!B:B," ")</f>
        <v>3D</v>
      </c>
    </row>
    <row r="129" spans="1:6" ht="18" x14ac:dyDescent="0.2">
      <c r="A129" s="2">
        <v>45478</v>
      </c>
      <c r="B129" s="2">
        <v>45478</v>
      </c>
      <c r="C129" s="3" t="s">
        <v>16</v>
      </c>
      <c r="D129" s="4">
        <v>90</v>
      </c>
      <c r="E129" s="4">
        <v>989.03</v>
      </c>
      <c r="F129" s="3" t="str">
        <f>_xlfn.XLOOKUP(C129,[1]Mapping!A:A,[1]Mapping!B:B," ")</f>
        <v>3E</v>
      </c>
    </row>
    <row r="130" spans="1:6" ht="18" x14ac:dyDescent="0.2">
      <c r="A130" s="2">
        <v>45478</v>
      </c>
      <c r="B130" s="2">
        <v>45478</v>
      </c>
      <c r="C130" s="3" t="s">
        <v>30</v>
      </c>
      <c r="D130" s="4">
        <v>45</v>
      </c>
      <c r="E130" s="4" t="s">
        <v>71</v>
      </c>
      <c r="F130" s="3" t="str">
        <f>_xlfn.XLOOKUP(C130,[1]Mapping!A:A,[1]Mapping!B:B," ")</f>
        <v>4D</v>
      </c>
    </row>
    <row r="131" spans="1:6" ht="18" x14ac:dyDescent="0.2">
      <c r="A131" s="2">
        <v>45478</v>
      </c>
      <c r="B131" s="2">
        <v>45478</v>
      </c>
      <c r="C131" s="3" t="s">
        <v>28</v>
      </c>
      <c r="D131" s="4">
        <v>45</v>
      </c>
      <c r="E131" s="4">
        <v>899.03</v>
      </c>
      <c r="F131" s="3" t="str">
        <f>_xlfn.XLOOKUP(C131,[1]Mapping!A:A,[1]Mapping!B:B," ")</f>
        <v>CV</v>
      </c>
    </row>
    <row r="132" spans="1:6" ht="18" x14ac:dyDescent="0.2">
      <c r="A132" s="2">
        <v>45478</v>
      </c>
      <c r="B132" s="2">
        <v>45478</v>
      </c>
      <c r="C132" s="3" t="s">
        <v>26</v>
      </c>
      <c r="D132" s="4">
        <v>50</v>
      </c>
      <c r="E132" s="4">
        <v>854.03</v>
      </c>
      <c r="F132" s="3" t="str">
        <f>_xlfn.XLOOKUP(C132,[1]Mapping!A:A,[1]Mapping!B:B," ")</f>
        <v>RCE</v>
      </c>
    </row>
    <row r="133" spans="1:6" ht="18" x14ac:dyDescent="0.2">
      <c r="A133" s="2">
        <v>45481</v>
      </c>
      <c r="B133" s="2">
        <v>45481</v>
      </c>
      <c r="C133" s="3" t="s">
        <v>24</v>
      </c>
      <c r="D133" s="4">
        <v>-150.24</v>
      </c>
      <c r="E133" s="4">
        <v>883.79</v>
      </c>
      <c r="F133" s="3" t="str">
        <f>_xlfn.XLOOKUP(C133,[1]Mapping!A:A,[1]Mapping!B:B," ")</f>
        <v>Luz</v>
      </c>
    </row>
    <row r="134" spans="1:6" ht="18" x14ac:dyDescent="0.2">
      <c r="A134" s="2">
        <v>45482</v>
      </c>
      <c r="B134" s="2">
        <v>45482</v>
      </c>
      <c r="C134" s="3" t="s">
        <v>63</v>
      </c>
      <c r="D134" s="4">
        <v>45</v>
      </c>
      <c r="E134" s="4">
        <v>928.79</v>
      </c>
      <c r="F134" s="3" t="str">
        <f>_xlfn.XLOOKUP(C134,[1]Mapping!A:A,[1]Mapping!B:B," ")</f>
        <v>6E</v>
      </c>
    </row>
    <row r="135" spans="1:6" ht="18" x14ac:dyDescent="0.2">
      <c r="A135" s="2">
        <v>45485</v>
      </c>
      <c r="B135" s="2">
        <v>45485</v>
      </c>
      <c r="C135" s="3" t="s">
        <v>36</v>
      </c>
      <c r="D135" s="4">
        <v>-206.32</v>
      </c>
      <c r="E135" s="4">
        <v>722.47</v>
      </c>
      <c r="F135" s="3" t="str">
        <f>_xlfn.XLOOKUP(C135,[1]Mapping!A:A,[1]Mapping!B:B," ")</f>
        <v>Elevadores</v>
      </c>
    </row>
    <row r="136" spans="1:6" ht="18" x14ac:dyDescent="0.2">
      <c r="A136" s="2">
        <v>45487</v>
      </c>
      <c r="B136" s="2">
        <v>45487</v>
      </c>
      <c r="C136" s="3" t="s">
        <v>37</v>
      </c>
      <c r="D136" s="4">
        <v>-7</v>
      </c>
      <c r="E136" s="4">
        <v>715.47</v>
      </c>
      <c r="F136" s="3" t="str">
        <f>_xlfn.XLOOKUP(C136,[1]Mapping!A:A,[1]Mapping!B:B," ")</f>
        <v>Gestao Conta</v>
      </c>
    </row>
    <row r="137" spans="1:6" ht="18" x14ac:dyDescent="0.2">
      <c r="A137" s="2">
        <v>45487</v>
      </c>
      <c r="B137" s="2">
        <v>45487</v>
      </c>
      <c r="C137" s="3" t="s">
        <v>38</v>
      </c>
      <c r="D137" s="4">
        <v>-0.28000000000000003</v>
      </c>
      <c r="E137" s="4">
        <v>715.19</v>
      </c>
      <c r="F137" s="3" t="str">
        <f>_xlfn.XLOOKUP(C137,[1]Mapping!A:A,[1]Mapping!B:B," ")</f>
        <v>Gestao Conta</v>
      </c>
    </row>
    <row r="138" spans="1:6" ht="18" x14ac:dyDescent="0.2">
      <c r="A138" s="2">
        <v>45489</v>
      </c>
      <c r="B138" s="2">
        <v>45489</v>
      </c>
      <c r="C138" s="3" t="s">
        <v>32</v>
      </c>
      <c r="D138" s="4">
        <v>45</v>
      </c>
      <c r="E138" s="4">
        <v>760.19</v>
      </c>
      <c r="F138" s="3" t="str">
        <f>_xlfn.XLOOKUP(C138,[1]Mapping!A:A,[1]Mapping!B:B," ")</f>
        <v>4E</v>
      </c>
    </row>
    <row r="139" spans="1:6" ht="18" x14ac:dyDescent="0.2">
      <c r="A139" s="2">
        <v>45503</v>
      </c>
      <c r="B139" s="2">
        <v>45503</v>
      </c>
      <c r="C139" s="3" t="s">
        <v>42</v>
      </c>
      <c r="D139" s="4">
        <v>45</v>
      </c>
      <c r="E139" s="4">
        <v>805.19</v>
      </c>
      <c r="F139" s="3" t="str">
        <f>_xlfn.XLOOKUP(C139,[1]Mapping!A:A,[1]Mapping!B:B," ")</f>
        <v>5E</v>
      </c>
    </row>
    <row r="140" spans="1:6" ht="18" x14ac:dyDescent="0.2">
      <c r="A140" s="2">
        <v>45503</v>
      </c>
      <c r="B140" s="2">
        <v>45503</v>
      </c>
      <c r="C140" s="3" t="s">
        <v>41</v>
      </c>
      <c r="D140" s="4">
        <v>20</v>
      </c>
      <c r="E140" s="4">
        <v>825.19</v>
      </c>
      <c r="F140" s="3" t="str">
        <f>_xlfn.XLOOKUP(C140,[1]Mapping!A:A,[1]Mapping!B:B," ")</f>
        <v>RCD</v>
      </c>
    </row>
    <row r="141" spans="1:6" ht="18" x14ac:dyDescent="0.2">
      <c r="A141" s="2">
        <v>45536</v>
      </c>
      <c r="B141" s="2">
        <v>45536</v>
      </c>
      <c r="C141" s="3" t="s">
        <v>66</v>
      </c>
      <c r="D141" s="4">
        <v>45</v>
      </c>
      <c r="E141" s="4">
        <v>865.18</v>
      </c>
      <c r="F141" s="3" t="str">
        <f>_xlfn.XLOOKUP(C141,[1]Mapping!A:A,[1]Mapping!B:B," ")</f>
        <v>5D</v>
      </c>
    </row>
    <row r="142" spans="1:6" ht="18" x14ac:dyDescent="0.2">
      <c r="A142" s="2">
        <v>45536</v>
      </c>
      <c r="B142" s="2">
        <v>45536</v>
      </c>
      <c r="C142" s="3" t="s">
        <v>72</v>
      </c>
      <c r="D142" s="4">
        <v>-1</v>
      </c>
      <c r="E142" s="4">
        <v>864.18</v>
      </c>
      <c r="F142" s="3" t="str">
        <f>_xlfn.XLOOKUP(C142,[1]Mapping!A:A,[1]Mapping!B:B," ")</f>
        <v>Gestao Conta</v>
      </c>
    </row>
    <row r="143" spans="1:6" ht="18" x14ac:dyDescent="0.2">
      <c r="A143" s="2">
        <v>45536</v>
      </c>
      <c r="B143" s="2">
        <v>45536</v>
      </c>
      <c r="C143" s="3" t="s">
        <v>73</v>
      </c>
      <c r="D143" s="4">
        <v>-0.04</v>
      </c>
      <c r="E143" s="4">
        <v>864.14</v>
      </c>
      <c r="F143" s="3" t="str">
        <f>_xlfn.XLOOKUP(C143,[1]Mapping!A:A,[1]Mapping!B:B," ")</f>
        <v>Gestao Conta</v>
      </c>
    </row>
    <row r="144" spans="1:6" ht="18" x14ac:dyDescent="0.2">
      <c r="A144" s="2">
        <v>45536</v>
      </c>
      <c r="B144" s="2">
        <v>45536</v>
      </c>
      <c r="C144" s="3" t="s">
        <v>10</v>
      </c>
      <c r="D144" s="4">
        <v>-60</v>
      </c>
      <c r="E144" s="4">
        <v>804.14</v>
      </c>
      <c r="F144" s="3" t="str">
        <f>_xlfn.XLOOKUP(C144,[1]Mapping!A:A,[1]Mapping!B:B," ")</f>
        <v>Conta Poupança</v>
      </c>
    </row>
    <row r="145" spans="1:6" ht="18" x14ac:dyDescent="0.2">
      <c r="A145" s="2">
        <v>45538</v>
      </c>
      <c r="B145" s="2">
        <v>45538</v>
      </c>
      <c r="C145" s="3" t="s">
        <v>12</v>
      </c>
      <c r="D145" s="4">
        <v>45</v>
      </c>
      <c r="E145" s="4">
        <v>849.14</v>
      </c>
      <c r="F145" s="3" t="str">
        <f>_xlfn.XLOOKUP(C145,[1]Mapping!A:A,[1]Mapping!B:B," ")</f>
        <v>3D</v>
      </c>
    </row>
    <row r="146" spans="1:6" ht="18" x14ac:dyDescent="0.2">
      <c r="A146" s="2">
        <v>45811</v>
      </c>
      <c r="B146" s="2">
        <v>45811</v>
      </c>
      <c r="C146" s="3" t="s">
        <v>18</v>
      </c>
      <c r="D146" s="4">
        <v>45</v>
      </c>
      <c r="E146" s="4" t="s">
        <v>74</v>
      </c>
      <c r="F146" s="3" t="str">
        <f>_xlfn.XLOOKUP(C146,[1]Mapping!A:A,[1]Mapping!B:B," ")</f>
        <v>1D</v>
      </c>
    </row>
    <row r="147" spans="1:6" ht="18" x14ac:dyDescent="0.2">
      <c r="A147" s="2">
        <v>45538</v>
      </c>
      <c r="B147" s="2">
        <v>45538</v>
      </c>
      <c r="C147" s="3" t="s">
        <v>16</v>
      </c>
      <c r="D147" s="4">
        <v>45</v>
      </c>
      <c r="E147" s="4">
        <v>939.14</v>
      </c>
      <c r="F147" s="3" t="str">
        <f>_xlfn.XLOOKUP(C147,[1]Mapping!A:A,[1]Mapping!B:B," ")</f>
        <v>3E</v>
      </c>
    </row>
    <row r="148" spans="1:6" ht="18" x14ac:dyDescent="0.2">
      <c r="A148" s="2">
        <v>45538</v>
      </c>
      <c r="B148" s="2">
        <v>45538</v>
      </c>
      <c r="C148" s="3" t="s">
        <v>30</v>
      </c>
      <c r="D148" s="4">
        <v>45</v>
      </c>
      <c r="E148" s="4">
        <v>984.14</v>
      </c>
      <c r="F148" s="3" t="str">
        <f>_xlfn.XLOOKUP(C148,[1]Mapping!A:A,[1]Mapping!B:B," ")</f>
        <v>4D</v>
      </c>
    </row>
    <row r="149" spans="1:6" ht="18" x14ac:dyDescent="0.2">
      <c r="A149" s="2">
        <v>45540</v>
      </c>
      <c r="B149" s="2">
        <v>45540</v>
      </c>
      <c r="C149" s="3" t="s">
        <v>26</v>
      </c>
      <c r="D149" s="4">
        <v>50</v>
      </c>
      <c r="E149" s="4" t="s">
        <v>75</v>
      </c>
      <c r="F149" s="3" t="str">
        <f>_xlfn.XLOOKUP(C149,[1]Mapping!A:A,[1]Mapping!B:B," ")</f>
        <v>RCE</v>
      </c>
    </row>
    <row r="150" spans="1:6" ht="18" x14ac:dyDescent="0.2">
      <c r="A150" s="2">
        <v>45540</v>
      </c>
      <c r="B150" s="2">
        <v>45540</v>
      </c>
      <c r="C150" s="3" t="s">
        <v>28</v>
      </c>
      <c r="D150" s="4">
        <v>45</v>
      </c>
      <c r="E150" s="4" t="s">
        <v>76</v>
      </c>
      <c r="F150" s="3" t="str">
        <f>_xlfn.XLOOKUP(C150,[1]Mapping!A:A,[1]Mapping!B:B," ")</f>
        <v>CV</v>
      </c>
    </row>
    <row r="151" spans="1:6" ht="18" x14ac:dyDescent="0.2">
      <c r="A151" s="2">
        <v>45540</v>
      </c>
      <c r="B151" s="2">
        <v>45540</v>
      </c>
      <c r="C151" s="3" t="s">
        <v>77</v>
      </c>
      <c r="D151" s="4">
        <v>45</v>
      </c>
      <c r="E151" s="4" t="s">
        <v>78</v>
      </c>
      <c r="F151" s="3" t="str">
        <f>_xlfn.XLOOKUP(C151,[1]Mapping!A:A,[1]Mapping!B:B," ")</f>
        <v>2D</v>
      </c>
    </row>
    <row r="152" spans="1:6" ht="18" x14ac:dyDescent="0.2">
      <c r="A152" s="2">
        <v>45540</v>
      </c>
      <c r="B152" s="2">
        <v>45540</v>
      </c>
      <c r="C152" s="3" t="s">
        <v>63</v>
      </c>
      <c r="D152" s="4">
        <v>45</v>
      </c>
      <c r="E152" s="4" t="s">
        <v>79</v>
      </c>
      <c r="F152" s="3" t="str">
        <f>_xlfn.XLOOKUP(C152,[1]Mapping!A:A,[1]Mapping!B:B," ")</f>
        <v>6E</v>
      </c>
    </row>
    <row r="153" spans="1:6" ht="18" x14ac:dyDescent="0.2">
      <c r="A153" s="2">
        <v>45546</v>
      </c>
      <c r="B153" s="2">
        <v>45546</v>
      </c>
      <c r="C153" s="3" t="s">
        <v>36</v>
      </c>
      <c r="D153" s="4">
        <v>-206.32</v>
      </c>
      <c r="E153" s="4">
        <v>962.82</v>
      </c>
      <c r="F153" s="3" t="str">
        <f>_xlfn.XLOOKUP(C153,[1]Mapping!A:A,[1]Mapping!B:B," ")</f>
        <v>Elevadores</v>
      </c>
    </row>
    <row r="154" spans="1:6" ht="18" x14ac:dyDescent="0.2">
      <c r="A154" s="2">
        <v>45548</v>
      </c>
      <c r="B154" s="2">
        <v>45548</v>
      </c>
      <c r="C154" s="3" t="s">
        <v>32</v>
      </c>
      <c r="D154" s="4">
        <v>45</v>
      </c>
      <c r="E154" s="4" t="s">
        <v>80</v>
      </c>
      <c r="F154" s="3" t="str">
        <f>_xlfn.XLOOKUP(C154,[1]Mapping!A:A,[1]Mapping!B:B," ")</f>
        <v>4E</v>
      </c>
    </row>
    <row r="155" spans="1:6" ht="18" x14ac:dyDescent="0.2">
      <c r="A155" s="2">
        <v>45549</v>
      </c>
      <c r="B155" s="2">
        <v>45549</v>
      </c>
      <c r="C155" s="3" t="s">
        <v>37</v>
      </c>
      <c r="D155" s="4">
        <v>-7</v>
      </c>
      <c r="E155" s="4" t="s">
        <v>81</v>
      </c>
      <c r="F155" s="3" t="str">
        <f>_xlfn.XLOOKUP(C155,[1]Mapping!A:A,[1]Mapping!B:B," ")</f>
        <v>Gestao Conta</v>
      </c>
    </row>
    <row r="156" spans="1:6" ht="18" x14ac:dyDescent="0.2">
      <c r="A156" s="2">
        <v>45549</v>
      </c>
      <c r="B156" s="2">
        <v>45549</v>
      </c>
      <c r="C156" s="3" t="s">
        <v>38</v>
      </c>
      <c r="D156" s="4">
        <v>-0.28000000000000003</v>
      </c>
      <c r="E156" s="4" t="s">
        <v>82</v>
      </c>
      <c r="F156" s="3" t="str">
        <f>_xlfn.XLOOKUP(C156,[1]Mapping!A:A,[1]Mapping!B:B," ")</f>
        <v>Gestao Conta</v>
      </c>
    </row>
    <row r="157" spans="1:6" ht="18" x14ac:dyDescent="0.2">
      <c r="A157" s="2">
        <v>45562</v>
      </c>
      <c r="B157" s="2">
        <v>45562</v>
      </c>
      <c r="C157" s="3" t="s">
        <v>41</v>
      </c>
      <c r="D157" s="4">
        <v>20</v>
      </c>
      <c r="E157" s="4" t="s">
        <v>83</v>
      </c>
      <c r="F157" s="3" t="str">
        <f>_xlfn.XLOOKUP(C157,[1]Mapping!A:A,[1]Mapping!B:B," ")</f>
        <v>RCD</v>
      </c>
    </row>
    <row r="158" spans="1:6" ht="18" x14ac:dyDescent="0.2">
      <c r="A158" s="2">
        <v>45565</v>
      </c>
      <c r="B158" s="2">
        <v>45565</v>
      </c>
      <c r="C158" s="3" t="s">
        <v>42</v>
      </c>
      <c r="D158" s="4">
        <v>45</v>
      </c>
      <c r="E158" s="4" t="s">
        <v>84</v>
      </c>
      <c r="F158" s="3" t="str">
        <f>_xlfn.XLOOKUP(C158,[1]Mapping!A:A,[1]Mapping!B:B," ")</f>
        <v>5E</v>
      </c>
    </row>
    <row r="159" spans="1:6" ht="18" x14ac:dyDescent="0.2">
      <c r="A159" s="2">
        <v>45566</v>
      </c>
      <c r="B159" s="2">
        <v>45566</v>
      </c>
      <c r="C159" s="3" t="s">
        <v>66</v>
      </c>
      <c r="D159" s="4">
        <v>45</v>
      </c>
      <c r="E159" s="4" t="s">
        <v>85</v>
      </c>
      <c r="F159" s="3" t="str">
        <f>_xlfn.XLOOKUP(C159,[1]Mapping!A:A,[1]Mapping!B:B," ")</f>
        <v>5D</v>
      </c>
    </row>
    <row r="160" spans="1:6" ht="18" x14ac:dyDescent="0.2">
      <c r="A160" s="2">
        <v>45566</v>
      </c>
      <c r="B160" s="2">
        <v>45566</v>
      </c>
      <c r="C160" s="3" t="s">
        <v>12</v>
      </c>
      <c r="D160" s="4">
        <v>45</v>
      </c>
      <c r="E160" s="4" t="s">
        <v>86</v>
      </c>
      <c r="F160" s="3" t="str">
        <f>_xlfn.XLOOKUP(C160,[1]Mapping!A:A,[1]Mapping!B:B," ")</f>
        <v>3D</v>
      </c>
    </row>
    <row r="161" spans="1:6" ht="18" x14ac:dyDescent="0.2">
      <c r="A161" s="2">
        <v>45566</v>
      </c>
      <c r="B161" s="2">
        <v>45566</v>
      </c>
      <c r="C161" s="3" t="s">
        <v>87</v>
      </c>
      <c r="D161" s="4">
        <v>-1</v>
      </c>
      <c r="E161" s="4" t="s">
        <v>88</v>
      </c>
      <c r="F161" s="3" t="str">
        <f>_xlfn.XLOOKUP(C161,[1]Mapping!A:A,[1]Mapping!B:B," ")</f>
        <v>Gestao Conta</v>
      </c>
    </row>
    <row r="162" spans="1:6" ht="18" x14ac:dyDescent="0.2">
      <c r="A162" s="2">
        <v>45566</v>
      </c>
      <c r="B162" s="2">
        <v>45566</v>
      </c>
      <c r="C162" s="3" t="s">
        <v>89</v>
      </c>
      <c r="D162" s="4">
        <v>-0.04</v>
      </c>
      <c r="E162" s="4" t="s">
        <v>90</v>
      </c>
      <c r="F162" s="3" t="str">
        <f>_xlfn.XLOOKUP(C162,[1]Mapping!A:A,[1]Mapping!B:B," ")</f>
        <v>Gestao Conta</v>
      </c>
    </row>
    <row r="163" spans="1:6" ht="18" x14ac:dyDescent="0.2">
      <c r="A163" s="2">
        <v>45566</v>
      </c>
      <c r="B163" s="2">
        <v>45566</v>
      </c>
      <c r="C163" s="3" t="s">
        <v>10</v>
      </c>
      <c r="D163" s="4">
        <v>-60</v>
      </c>
      <c r="E163" s="4" t="s">
        <v>91</v>
      </c>
      <c r="F163" s="3" t="str">
        <f>_xlfn.XLOOKUP(C163,[1]Mapping!A:A,[1]Mapping!B:B," ")</f>
        <v>Conta Poupança</v>
      </c>
    </row>
    <row r="164" spans="1:6" ht="18" x14ac:dyDescent="0.2">
      <c r="A164" s="2">
        <v>45567</v>
      </c>
      <c r="B164" s="2">
        <v>45567</v>
      </c>
      <c r="C164" s="3" t="s">
        <v>24</v>
      </c>
      <c r="D164" s="4">
        <v>-144.74</v>
      </c>
      <c r="E164" s="4">
        <v>949.76</v>
      </c>
      <c r="F164" s="3" t="str">
        <f>_xlfn.XLOOKUP(C164,[1]Mapping!A:A,[1]Mapping!B:B," ")</f>
        <v>Luz</v>
      </c>
    </row>
    <row r="165" spans="1:6" ht="18" x14ac:dyDescent="0.2">
      <c r="A165" s="2">
        <v>45782</v>
      </c>
      <c r="B165" s="2">
        <v>45782</v>
      </c>
      <c r="C165" s="3" t="s">
        <v>18</v>
      </c>
      <c r="D165" s="4">
        <v>45</v>
      </c>
      <c r="E165" s="4" t="s">
        <v>92</v>
      </c>
      <c r="F165" s="3" t="str">
        <f>_xlfn.XLOOKUP(C165,[1]Mapping!A:A,[1]Mapping!B:B," ")</f>
        <v>1D</v>
      </c>
    </row>
    <row r="166" spans="1:6" ht="18" x14ac:dyDescent="0.2">
      <c r="A166" s="2">
        <v>45569</v>
      </c>
      <c r="B166" s="2">
        <v>45569</v>
      </c>
      <c r="C166" s="3" t="s">
        <v>30</v>
      </c>
      <c r="D166" s="4">
        <v>45</v>
      </c>
      <c r="E166" s="4" t="s">
        <v>93</v>
      </c>
      <c r="F166" s="3" t="str">
        <f>_xlfn.XLOOKUP(C166,[1]Mapping!A:A,[1]Mapping!B:B," ")</f>
        <v>4D</v>
      </c>
    </row>
    <row r="167" spans="1:6" ht="18" x14ac:dyDescent="0.2">
      <c r="A167" s="2">
        <v>45570</v>
      </c>
      <c r="B167" s="2">
        <v>45570</v>
      </c>
      <c r="C167" s="3" t="s">
        <v>26</v>
      </c>
      <c r="D167" s="4">
        <v>50</v>
      </c>
      <c r="E167" s="4" t="s">
        <v>94</v>
      </c>
      <c r="F167" s="3" t="str">
        <f>_xlfn.XLOOKUP(C167,[1]Mapping!A:A,[1]Mapping!B:B," ")</f>
        <v>RCE</v>
      </c>
    </row>
    <row r="168" spans="1:6" ht="18" x14ac:dyDescent="0.2">
      <c r="A168" s="2">
        <v>45570</v>
      </c>
      <c r="B168" s="2">
        <v>45570</v>
      </c>
      <c r="C168" s="3" t="s">
        <v>28</v>
      </c>
      <c r="D168" s="4">
        <v>45</v>
      </c>
      <c r="E168" s="4" t="s">
        <v>95</v>
      </c>
      <c r="F168" s="3" t="str">
        <f>_xlfn.XLOOKUP(C168,[1]Mapping!A:A,[1]Mapping!B:B," ")</f>
        <v>CV</v>
      </c>
    </row>
    <row r="169" spans="1:6" ht="18" x14ac:dyDescent="0.2">
      <c r="A169" s="2">
        <v>45572</v>
      </c>
      <c r="B169" s="2">
        <v>45572</v>
      </c>
      <c r="C169" s="3" t="s">
        <v>77</v>
      </c>
      <c r="D169" s="4">
        <v>45</v>
      </c>
      <c r="E169" s="4" t="s">
        <v>96</v>
      </c>
      <c r="F169" s="3" t="str">
        <f>_xlfn.XLOOKUP(C169,[1]Mapping!A:A,[1]Mapping!B:B," ")</f>
        <v>2D</v>
      </c>
    </row>
    <row r="170" spans="1:6" ht="18" x14ac:dyDescent="0.2">
      <c r="A170" s="2">
        <v>45572</v>
      </c>
      <c r="B170" s="2">
        <v>45572</v>
      </c>
      <c r="C170" s="3" t="s">
        <v>63</v>
      </c>
      <c r="D170" s="4">
        <v>45</v>
      </c>
      <c r="E170" s="4" t="s">
        <v>97</v>
      </c>
      <c r="F170" s="3" t="str">
        <f>_xlfn.XLOOKUP(C170,[1]Mapping!A:A,[1]Mapping!B:B," ")</f>
        <v>6E</v>
      </c>
    </row>
    <row r="171" spans="1:6" ht="18" x14ac:dyDescent="0.2">
      <c r="A171" s="2">
        <v>45576</v>
      </c>
      <c r="B171" s="2">
        <v>45576</v>
      </c>
      <c r="C171" s="3" t="s">
        <v>36</v>
      </c>
      <c r="D171" s="4">
        <v>-206.32</v>
      </c>
      <c r="E171" s="4" t="s">
        <v>98</v>
      </c>
      <c r="F171" s="3" t="str">
        <f>_xlfn.XLOOKUP(C171,[1]Mapping!A:A,[1]Mapping!B:B," ")</f>
        <v>Elevadores</v>
      </c>
    </row>
    <row r="172" spans="1:6" ht="18" x14ac:dyDescent="0.2">
      <c r="A172" s="2">
        <v>45576</v>
      </c>
      <c r="B172" s="2">
        <v>45576</v>
      </c>
      <c r="C172" s="3" t="s">
        <v>32</v>
      </c>
      <c r="D172" s="4">
        <v>45</v>
      </c>
      <c r="E172" s="4" t="s">
        <v>99</v>
      </c>
      <c r="F172" s="3" t="str">
        <f>_xlfn.XLOOKUP(C172,[1]Mapping!A:A,[1]Mapping!B:B," ")</f>
        <v>4E</v>
      </c>
    </row>
    <row r="173" spans="1:6" ht="18" x14ac:dyDescent="0.2">
      <c r="A173" s="2">
        <v>45579</v>
      </c>
      <c r="B173" s="2">
        <v>45579</v>
      </c>
      <c r="C173" s="3" t="s">
        <v>37</v>
      </c>
      <c r="D173" s="4">
        <v>-7</v>
      </c>
      <c r="E173" s="4" t="s">
        <v>100</v>
      </c>
      <c r="F173" s="3" t="str">
        <f>_xlfn.XLOOKUP(C173,[1]Mapping!A:A,[1]Mapping!B:B," ")</f>
        <v>Gestao Conta</v>
      </c>
    </row>
    <row r="174" spans="1:6" ht="18" x14ac:dyDescent="0.2">
      <c r="A174" s="2">
        <v>45579</v>
      </c>
      <c r="B174" s="2">
        <v>45579</v>
      </c>
      <c r="C174" s="3" t="s">
        <v>38</v>
      </c>
      <c r="D174" s="4">
        <v>-0.28000000000000003</v>
      </c>
      <c r="E174" s="4" t="s">
        <v>101</v>
      </c>
      <c r="F174" s="3" t="str">
        <f>_xlfn.XLOOKUP(C174,[1]Mapping!A:A,[1]Mapping!B:B," ")</f>
        <v>Gestao Conta</v>
      </c>
    </row>
    <row r="175" spans="1:6" ht="18" x14ac:dyDescent="0.2">
      <c r="A175" s="2">
        <v>45583</v>
      </c>
      <c r="B175" s="2">
        <v>45583</v>
      </c>
      <c r="C175" s="3" t="s">
        <v>102</v>
      </c>
      <c r="D175" s="4">
        <v>-514.76</v>
      </c>
      <c r="E175" s="4">
        <v>541.4</v>
      </c>
      <c r="F175" s="3" t="str">
        <f>_xlfn.XLOOKUP(C175,[1]Mapping!A:A,[1]Mapping!B:B," ")</f>
        <v>P. Serviços</v>
      </c>
    </row>
    <row r="176" spans="1:6" ht="18" x14ac:dyDescent="0.2">
      <c r="A176" s="2">
        <v>45587</v>
      </c>
      <c r="B176" s="2">
        <v>45587</v>
      </c>
      <c r="C176" s="5" t="s">
        <v>103</v>
      </c>
      <c r="D176" s="4">
        <v>277.5</v>
      </c>
      <c r="E176" s="4">
        <v>818.9</v>
      </c>
      <c r="F176" s="3" t="str">
        <f>_xlfn.XLOOKUP(C176,[1]Mapping!A:A,[1]Mapping!B:B," ")</f>
        <v>2E</v>
      </c>
    </row>
    <row r="177" spans="1:6" ht="18" x14ac:dyDescent="0.2">
      <c r="A177" s="2">
        <v>45505</v>
      </c>
      <c r="B177" s="2">
        <v>45505</v>
      </c>
      <c r="C177" s="3" t="s">
        <v>14</v>
      </c>
      <c r="D177" s="4">
        <v>45</v>
      </c>
      <c r="E177" s="4">
        <v>915.19</v>
      </c>
      <c r="F177" s="3" t="str">
        <f>_xlfn.XLOOKUP(C177,[1]Mapping!A:A,[1]Mapping!B:B," ")</f>
        <v>1E</v>
      </c>
    </row>
    <row r="178" spans="1:6" ht="18" x14ac:dyDescent="0.2">
      <c r="A178" s="2">
        <v>45593</v>
      </c>
      <c r="B178" s="2">
        <v>45593</v>
      </c>
      <c r="C178" s="5" t="s">
        <v>24</v>
      </c>
      <c r="D178" s="4">
        <v>-146.47</v>
      </c>
      <c r="E178" s="4">
        <v>717.43</v>
      </c>
      <c r="F178" s="3" t="str">
        <f>_xlfn.XLOOKUP(C178,[1]Mapping!A:A,[1]Mapping!B:B," ")</f>
        <v>Luz</v>
      </c>
    </row>
    <row r="179" spans="1:6" ht="18" x14ac:dyDescent="0.2">
      <c r="A179" s="2">
        <v>45595</v>
      </c>
      <c r="B179" s="2">
        <v>45595</v>
      </c>
      <c r="C179" s="5" t="s">
        <v>42</v>
      </c>
      <c r="D179" s="4">
        <v>45</v>
      </c>
      <c r="E179" s="4">
        <v>762.43</v>
      </c>
      <c r="F179" s="3" t="str">
        <f>_xlfn.XLOOKUP(C179,[1]Mapping!A:A,[1]Mapping!B:B," ")</f>
        <v>5E</v>
      </c>
    </row>
    <row r="180" spans="1:6" ht="18" x14ac:dyDescent="0.2">
      <c r="A180" s="2">
        <v>45595</v>
      </c>
      <c r="B180" s="2">
        <v>45595</v>
      </c>
      <c r="C180" s="5" t="s">
        <v>41</v>
      </c>
      <c r="D180" s="4">
        <v>60</v>
      </c>
      <c r="E180" s="4">
        <v>822.43</v>
      </c>
      <c r="F180" s="3" t="str">
        <f>_xlfn.XLOOKUP(C180,[1]Mapping!A:A,[1]Mapping!B:B," ")</f>
        <v>RCD</v>
      </c>
    </row>
    <row r="181" spans="1:6" ht="18" x14ac:dyDescent="0.2">
      <c r="A181" s="2">
        <v>45597</v>
      </c>
      <c r="B181" s="2">
        <v>45597</v>
      </c>
      <c r="C181" s="5" t="s">
        <v>66</v>
      </c>
      <c r="D181" s="4">
        <v>45</v>
      </c>
      <c r="E181" s="4">
        <v>867.43</v>
      </c>
      <c r="F181" s="3" t="str">
        <f>_xlfn.XLOOKUP(C181,[1]Mapping!A:A,[1]Mapping!B:B," ")</f>
        <v>5D</v>
      </c>
    </row>
    <row r="182" spans="1:6" ht="18" x14ac:dyDescent="0.2">
      <c r="A182" s="2">
        <v>45597</v>
      </c>
      <c r="B182" s="2">
        <v>45597</v>
      </c>
      <c r="C182" s="5" t="s">
        <v>12</v>
      </c>
      <c r="D182" s="4">
        <v>45</v>
      </c>
      <c r="E182" s="4">
        <v>912.43</v>
      </c>
      <c r="F182" s="3" t="str">
        <f>_xlfn.XLOOKUP(C182,[1]Mapping!A:A,[1]Mapping!B:B," ")</f>
        <v>3D</v>
      </c>
    </row>
    <row r="183" spans="1:6" ht="18" x14ac:dyDescent="0.2">
      <c r="A183" s="2">
        <v>45597</v>
      </c>
      <c r="B183" s="2">
        <v>45597</v>
      </c>
      <c r="C183" s="5" t="s">
        <v>104</v>
      </c>
      <c r="D183" s="4">
        <v>-1</v>
      </c>
      <c r="E183" s="4">
        <v>911.43</v>
      </c>
      <c r="F183" s="3" t="str">
        <f>_xlfn.XLOOKUP(C183,[1]Mapping!A:A,[1]Mapping!B:B," ")</f>
        <v>Gestao Conta</v>
      </c>
    </row>
    <row r="184" spans="1:6" ht="18" x14ac:dyDescent="0.2">
      <c r="A184" s="2">
        <v>45597</v>
      </c>
      <c r="B184" s="2">
        <v>45597</v>
      </c>
      <c r="C184" s="5" t="s">
        <v>105</v>
      </c>
      <c r="D184" s="4">
        <v>-0.04</v>
      </c>
      <c r="E184" s="4">
        <v>911.39</v>
      </c>
      <c r="F184" s="3" t="str">
        <f>_xlfn.XLOOKUP(C184,[1]Mapping!A:A,[1]Mapping!B:B," ")</f>
        <v>Gestao Conta</v>
      </c>
    </row>
    <row r="185" spans="1:6" ht="18" x14ac:dyDescent="0.2">
      <c r="A185" s="2">
        <v>45597</v>
      </c>
      <c r="B185" s="2">
        <v>45597</v>
      </c>
      <c r="C185" s="5" t="s">
        <v>10</v>
      </c>
      <c r="D185" s="4">
        <v>-60</v>
      </c>
      <c r="E185" s="4">
        <v>851.39</v>
      </c>
      <c r="F185" s="3" t="str">
        <f>_xlfn.XLOOKUP(C185,[1]Mapping!A:A,[1]Mapping!B:B," ")</f>
        <v>Conta Poupança</v>
      </c>
    </row>
    <row r="186" spans="1:6" ht="18" x14ac:dyDescent="0.2">
      <c r="A186" s="2">
        <v>45600</v>
      </c>
      <c r="B186" s="2">
        <v>45600</v>
      </c>
      <c r="C186" s="5" t="s">
        <v>106</v>
      </c>
      <c r="D186" s="4">
        <v>558.25</v>
      </c>
      <c r="E186" s="4" t="s">
        <v>107</v>
      </c>
      <c r="F186" s="3" t="str">
        <f>_xlfn.XLOOKUP(C186,[1]Mapping!A:A,[1]Mapping!B:B," ")</f>
        <v>6D</v>
      </c>
    </row>
    <row r="187" spans="1:6" ht="18" x14ac:dyDescent="0.2">
      <c r="A187" s="2">
        <v>45600</v>
      </c>
      <c r="B187" s="2">
        <v>45600</v>
      </c>
      <c r="C187" s="5" t="s">
        <v>63</v>
      </c>
      <c r="D187" s="4">
        <v>45</v>
      </c>
      <c r="E187" s="4" t="s">
        <v>108</v>
      </c>
      <c r="F187" s="3" t="str">
        <f>_xlfn.XLOOKUP(C187,[1]Mapping!A:A,[1]Mapping!B:B," ")</f>
        <v>6E</v>
      </c>
    </row>
    <row r="188" spans="1:6" ht="18" x14ac:dyDescent="0.2">
      <c r="A188" s="2">
        <v>45601</v>
      </c>
      <c r="B188" s="2">
        <v>45601</v>
      </c>
      <c r="C188" s="5" t="s">
        <v>26</v>
      </c>
      <c r="D188" s="4">
        <v>50</v>
      </c>
      <c r="E188" s="4" t="s">
        <v>109</v>
      </c>
      <c r="F188" s="3" t="str">
        <f>_xlfn.XLOOKUP(C188,[1]Mapping!A:A,[1]Mapping!B:B," ")</f>
        <v>RCE</v>
      </c>
    </row>
    <row r="189" spans="1:6" ht="18" x14ac:dyDescent="0.2">
      <c r="A189" s="2">
        <v>45601</v>
      </c>
      <c r="B189" s="2">
        <v>45601</v>
      </c>
      <c r="C189" s="5" t="s">
        <v>28</v>
      </c>
      <c r="D189" s="4">
        <v>45</v>
      </c>
      <c r="E189" s="4" t="s">
        <v>110</v>
      </c>
      <c r="F189" s="3" t="str">
        <f>_xlfn.XLOOKUP(C189,[1]Mapping!A:A,[1]Mapping!B:B," ")</f>
        <v>CV</v>
      </c>
    </row>
    <row r="190" spans="1:6" ht="18" x14ac:dyDescent="0.2">
      <c r="A190" s="2">
        <v>45601</v>
      </c>
      <c r="B190" s="2">
        <v>45601</v>
      </c>
      <c r="C190" s="5" t="s">
        <v>77</v>
      </c>
      <c r="D190" s="4">
        <v>45</v>
      </c>
      <c r="E190" s="4" t="s">
        <v>111</v>
      </c>
      <c r="F190" s="3" t="str">
        <f>_xlfn.XLOOKUP(C190,[1]Mapping!A:A,[1]Mapping!B:B," ")</f>
        <v>2D</v>
      </c>
    </row>
    <row r="191" spans="1:6" ht="18" x14ac:dyDescent="0.2">
      <c r="A191" s="2">
        <v>45749</v>
      </c>
      <c r="B191" s="2">
        <v>45749</v>
      </c>
      <c r="C191" s="3" t="s">
        <v>18</v>
      </c>
      <c r="D191" s="4">
        <v>45</v>
      </c>
      <c r="E191" s="4" t="s">
        <v>112</v>
      </c>
      <c r="F191" s="3" t="str">
        <f>_xlfn.XLOOKUP(C191,[1]Mapping!A:A,[1]Mapping!B:B," ")</f>
        <v>1D</v>
      </c>
    </row>
    <row r="192" spans="1:6" ht="18" x14ac:dyDescent="0.2">
      <c r="A192" s="2">
        <v>45601</v>
      </c>
      <c r="B192" s="2">
        <v>45601</v>
      </c>
      <c r="C192" s="5" t="s">
        <v>16</v>
      </c>
      <c r="D192" s="4">
        <v>90</v>
      </c>
      <c r="E192" s="4" t="s">
        <v>113</v>
      </c>
      <c r="F192" s="3" t="str">
        <f>_xlfn.XLOOKUP(C192,[1]Mapping!A:A,[1]Mapping!B:B," ")</f>
        <v>3E</v>
      </c>
    </row>
    <row r="193" spans="1:6" ht="18" x14ac:dyDescent="0.2">
      <c r="A193" s="2">
        <v>45601</v>
      </c>
      <c r="B193" s="2">
        <v>45601</v>
      </c>
      <c r="C193" s="5" t="s">
        <v>30</v>
      </c>
      <c r="D193" s="4">
        <v>45</v>
      </c>
      <c r="E193" s="4" t="s">
        <v>114</v>
      </c>
      <c r="F193" s="3" t="str">
        <f>_xlfn.XLOOKUP(C193,[1]Mapping!A:A,[1]Mapping!B:B," ")</f>
        <v>4D</v>
      </c>
    </row>
    <row r="194" spans="1:6" ht="18" x14ac:dyDescent="0.2">
      <c r="A194" s="2">
        <v>45505</v>
      </c>
      <c r="B194" s="2">
        <v>45505</v>
      </c>
      <c r="C194" s="3" t="s">
        <v>66</v>
      </c>
      <c r="D194" s="4">
        <v>45</v>
      </c>
      <c r="E194" s="4">
        <v>870.19</v>
      </c>
      <c r="F194" s="3" t="str">
        <f>_xlfn.XLOOKUP(C194,[1]Mapping!A:A,[1]Mapping!B:B," ")</f>
        <v>5D</v>
      </c>
    </row>
    <row r="195" spans="1:6" ht="18" x14ac:dyDescent="0.2">
      <c r="A195" s="2">
        <v>45588</v>
      </c>
      <c r="B195" s="2">
        <v>45588</v>
      </c>
      <c r="C195" s="5" t="s">
        <v>14</v>
      </c>
      <c r="D195" s="4">
        <v>45</v>
      </c>
      <c r="E195" s="4">
        <v>863.9</v>
      </c>
      <c r="F195" s="3" t="str">
        <f>_xlfn.XLOOKUP(C195,[1]Mapping!A:A,[1]Mapping!B:B," ")</f>
        <v>1E</v>
      </c>
    </row>
    <row r="196" spans="1:6" ht="18" x14ac:dyDescent="0.2">
      <c r="A196" s="2">
        <v>45505</v>
      </c>
      <c r="B196" s="2">
        <v>45505</v>
      </c>
      <c r="C196" s="3" t="s">
        <v>12</v>
      </c>
      <c r="D196" s="4">
        <v>45</v>
      </c>
      <c r="E196" s="4">
        <v>960.19</v>
      </c>
      <c r="F196" s="3" t="str">
        <f>_xlfn.XLOOKUP(C196,[1]Mapping!A:A,[1]Mapping!B:B," ")</f>
        <v>3D</v>
      </c>
    </row>
    <row r="197" spans="1:6" ht="18" x14ac:dyDescent="0.2">
      <c r="A197" s="2">
        <v>45505</v>
      </c>
      <c r="B197" s="2">
        <v>45505</v>
      </c>
      <c r="C197" s="3" t="s">
        <v>115</v>
      </c>
      <c r="D197" s="4">
        <v>-1</v>
      </c>
      <c r="E197" s="4">
        <v>959.19</v>
      </c>
      <c r="F197" s="3" t="str">
        <f>_xlfn.XLOOKUP(C197,[1]Mapping!A:A,[1]Mapping!B:B," ")</f>
        <v>Gestao Conta</v>
      </c>
    </row>
    <row r="198" spans="1:6" ht="18" x14ac:dyDescent="0.2">
      <c r="A198" s="2">
        <v>45505</v>
      </c>
      <c r="B198" s="2">
        <v>45505</v>
      </c>
      <c r="C198" s="3" t="s">
        <v>116</v>
      </c>
      <c r="D198" s="4">
        <v>-0.04</v>
      </c>
      <c r="E198" s="4">
        <v>959.15</v>
      </c>
      <c r="F198" s="3" t="str">
        <f>_xlfn.XLOOKUP(C198,[1]Mapping!A:A,[1]Mapping!B:B," ")</f>
        <v>Gestao Conta</v>
      </c>
    </row>
    <row r="199" spans="1:6" ht="18" x14ac:dyDescent="0.2">
      <c r="A199" s="2">
        <v>45505</v>
      </c>
      <c r="B199" s="2">
        <v>45505</v>
      </c>
      <c r="C199" s="3" t="s">
        <v>10</v>
      </c>
      <c r="D199" s="4">
        <v>-60</v>
      </c>
      <c r="E199" s="4">
        <v>899.15</v>
      </c>
      <c r="F199" s="3" t="str">
        <f>_xlfn.XLOOKUP(C199,[1]Mapping!A:A,[1]Mapping!B:B," ")</f>
        <v>Conta Poupança</v>
      </c>
    </row>
    <row r="200" spans="1:6" ht="18" x14ac:dyDescent="0.2">
      <c r="A200" s="2">
        <v>45726</v>
      </c>
      <c r="B200" s="2">
        <v>45726</v>
      </c>
      <c r="C200" s="3" t="s">
        <v>18</v>
      </c>
      <c r="D200" s="4">
        <v>45</v>
      </c>
      <c r="E200" s="4" t="s">
        <v>117</v>
      </c>
      <c r="F200" s="3" t="str">
        <f>_xlfn.XLOOKUP(C200,[1]Mapping!A:A,[1]Mapping!B:B," ")</f>
        <v>1D</v>
      </c>
    </row>
    <row r="201" spans="1:6" ht="18" x14ac:dyDescent="0.2">
      <c r="A201" s="2">
        <v>45509</v>
      </c>
      <c r="B201" s="2">
        <v>45509</v>
      </c>
      <c r="C201" s="3" t="s">
        <v>16</v>
      </c>
      <c r="D201" s="4">
        <v>45</v>
      </c>
      <c r="E201" s="4">
        <v>989.15</v>
      </c>
      <c r="F201" s="3" t="str">
        <f>_xlfn.XLOOKUP(C201,[1]Mapping!A:A,[1]Mapping!B:B," ")</f>
        <v>3E</v>
      </c>
    </row>
    <row r="202" spans="1:6" ht="18" x14ac:dyDescent="0.2">
      <c r="A202" s="2">
        <v>45509</v>
      </c>
      <c r="B202" s="2">
        <v>45509</v>
      </c>
      <c r="C202" s="3" t="s">
        <v>28</v>
      </c>
      <c r="D202" s="4">
        <v>45</v>
      </c>
      <c r="E202" s="4" t="s">
        <v>118</v>
      </c>
      <c r="F202" s="3" t="str">
        <f>_xlfn.XLOOKUP(C202,[1]Mapping!A:A,[1]Mapping!B:B," ")</f>
        <v>CV</v>
      </c>
    </row>
    <row r="203" spans="1:6" ht="18" x14ac:dyDescent="0.2">
      <c r="A203" s="2">
        <v>45509</v>
      </c>
      <c r="B203" s="2">
        <v>45509</v>
      </c>
      <c r="C203" s="3" t="s">
        <v>24</v>
      </c>
      <c r="D203" s="4">
        <v>-149.81</v>
      </c>
      <c r="E203" s="4">
        <v>884.34</v>
      </c>
      <c r="F203" s="3" t="str">
        <f>_xlfn.XLOOKUP(C203,[1]Mapping!A:A,[1]Mapping!B:B," ")</f>
        <v>Luz</v>
      </c>
    </row>
    <row r="204" spans="1:6" ht="18" x14ac:dyDescent="0.2">
      <c r="A204" s="2">
        <v>45510</v>
      </c>
      <c r="B204" s="2">
        <v>45510</v>
      </c>
      <c r="C204" s="3" t="s">
        <v>30</v>
      </c>
      <c r="D204" s="4">
        <v>45</v>
      </c>
      <c r="E204" s="4">
        <v>929.34</v>
      </c>
      <c r="F204" s="3" t="str">
        <f>_xlfn.XLOOKUP(C204,[1]Mapping!A:A,[1]Mapping!B:B," ")</f>
        <v>4D</v>
      </c>
    </row>
    <row r="205" spans="1:6" ht="18" x14ac:dyDescent="0.2">
      <c r="A205" s="2">
        <v>45516</v>
      </c>
      <c r="B205" s="2">
        <v>45516</v>
      </c>
      <c r="C205" s="3" t="s">
        <v>39</v>
      </c>
      <c r="D205" s="4">
        <v>45</v>
      </c>
      <c r="E205" s="4">
        <v>974.34</v>
      </c>
      <c r="F205" s="3" t="str">
        <f>_xlfn.XLOOKUP(C205,[1]Mapping!A:A,[1]Mapping!B:B," ")</f>
        <v>6E</v>
      </c>
    </row>
    <row r="206" spans="1:6" ht="18" x14ac:dyDescent="0.2">
      <c r="A206" s="2">
        <v>45516</v>
      </c>
      <c r="B206" s="2">
        <v>45516</v>
      </c>
      <c r="C206" s="3" t="s">
        <v>32</v>
      </c>
      <c r="D206" s="4">
        <v>45</v>
      </c>
      <c r="E206" s="4" t="s">
        <v>119</v>
      </c>
      <c r="F206" s="3" t="str">
        <f>_xlfn.XLOOKUP(C206,[1]Mapping!A:A,[1]Mapping!B:B," ")</f>
        <v>4E</v>
      </c>
    </row>
    <row r="207" spans="1:6" ht="18" x14ac:dyDescent="0.2">
      <c r="A207" s="2">
        <v>45517</v>
      </c>
      <c r="B207" s="2">
        <v>45517</v>
      </c>
      <c r="C207" s="3" t="s">
        <v>36</v>
      </c>
      <c r="D207" s="4">
        <v>-206.32</v>
      </c>
      <c r="E207" s="4">
        <v>813.02</v>
      </c>
      <c r="F207" s="3" t="str">
        <f>_xlfn.XLOOKUP(C207,[1]Mapping!A:A,[1]Mapping!B:B," ")</f>
        <v>Elevadores</v>
      </c>
    </row>
    <row r="208" spans="1:6" ht="18" x14ac:dyDescent="0.2">
      <c r="A208" s="2">
        <v>45518</v>
      </c>
      <c r="B208" s="2">
        <v>45518</v>
      </c>
      <c r="C208" s="3" t="s">
        <v>37</v>
      </c>
      <c r="D208" s="4">
        <v>-7</v>
      </c>
      <c r="E208" s="4">
        <v>806.02</v>
      </c>
      <c r="F208" s="3" t="str">
        <f>_xlfn.XLOOKUP(C208,[1]Mapping!A:A,[1]Mapping!B:B," ")</f>
        <v>Gestao Conta</v>
      </c>
    </row>
    <row r="209" spans="1:6" ht="18" x14ac:dyDescent="0.2">
      <c r="A209" s="2">
        <v>45518</v>
      </c>
      <c r="B209" s="2">
        <v>45518</v>
      </c>
      <c r="C209" s="3" t="s">
        <v>38</v>
      </c>
      <c r="D209" s="4">
        <v>-0.28000000000000003</v>
      </c>
      <c r="E209" s="4">
        <v>805.74</v>
      </c>
      <c r="F209" s="3" t="str">
        <f>_xlfn.XLOOKUP(C209,[1]Mapping!A:A,[1]Mapping!B:B," ")</f>
        <v>Gestao Conta</v>
      </c>
    </row>
    <row r="210" spans="1:6" ht="18" x14ac:dyDescent="0.2">
      <c r="A210" s="2">
        <v>45520</v>
      </c>
      <c r="B210" s="2">
        <v>45520</v>
      </c>
      <c r="C210" s="3" t="s">
        <v>62</v>
      </c>
      <c r="D210" s="4">
        <v>97.5</v>
      </c>
      <c r="E210" s="4">
        <v>903.24</v>
      </c>
      <c r="F210" s="3" t="str">
        <f>_xlfn.XLOOKUP(C210,[1]Mapping!A:A,[1]Mapping!B:B," ")</f>
        <v>2E</v>
      </c>
    </row>
    <row r="211" spans="1:6" ht="18" x14ac:dyDescent="0.2">
      <c r="A211" s="2">
        <v>45533</v>
      </c>
      <c r="B211" s="2">
        <v>45533</v>
      </c>
      <c r="C211" s="3" t="s">
        <v>41</v>
      </c>
      <c r="D211" s="4">
        <v>20</v>
      </c>
      <c r="E211" s="4">
        <v>923.24</v>
      </c>
      <c r="F211" s="3" t="str">
        <f>_xlfn.XLOOKUP(C211,[1]Mapping!A:A,[1]Mapping!B:B," ")</f>
        <v>RCD</v>
      </c>
    </row>
    <row r="212" spans="1:6" ht="18" x14ac:dyDescent="0.2">
      <c r="A212" s="2">
        <v>45534</v>
      </c>
      <c r="B212" s="2">
        <v>45534</v>
      </c>
      <c r="C212" s="3" t="s">
        <v>42</v>
      </c>
      <c r="D212" s="4">
        <v>45</v>
      </c>
      <c r="E212" s="4">
        <v>968.24</v>
      </c>
      <c r="F212" s="3" t="str">
        <f>_xlfn.XLOOKUP(C212,[1]Mapping!A:A,[1]Mapping!B:B," ")</f>
        <v>5E</v>
      </c>
    </row>
    <row r="213" spans="1:6" ht="18" x14ac:dyDescent="0.2">
      <c r="A213" s="2">
        <v>45534</v>
      </c>
      <c r="B213" s="2">
        <v>45534</v>
      </c>
      <c r="C213" s="3" t="s">
        <v>24</v>
      </c>
      <c r="D213" s="4">
        <v>-148.06</v>
      </c>
      <c r="E213" s="4">
        <v>820.18</v>
      </c>
      <c r="F213" s="3" t="str">
        <f>_xlfn.XLOOKUP(C213,[1]Mapping!A:A,[1]Mapping!B:B," ")</f>
        <v>Luz</v>
      </c>
    </row>
    <row r="214" spans="1:6" ht="18" x14ac:dyDescent="0.2">
      <c r="A214" s="2">
        <v>45605</v>
      </c>
      <c r="B214" s="2">
        <v>45605</v>
      </c>
      <c r="C214" s="3" t="s">
        <v>20</v>
      </c>
      <c r="D214" s="6">
        <v>-1</v>
      </c>
      <c r="E214" s="4" t="s">
        <v>120</v>
      </c>
      <c r="F214" s="3" t="str">
        <f>_xlfn.XLOOKUP(C214,[1]Mapping!A:A,[1]Mapping!B:B," ")</f>
        <v>Gestao Conta</v>
      </c>
    </row>
    <row r="215" spans="1:6" ht="18" x14ac:dyDescent="0.2">
      <c r="A215" s="2">
        <v>45605</v>
      </c>
      <c r="B215" s="2">
        <v>45605</v>
      </c>
      <c r="C215" s="3" t="s">
        <v>22</v>
      </c>
      <c r="D215" s="6">
        <v>0.04</v>
      </c>
      <c r="E215" s="4" t="s">
        <v>121</v>
      </c>
      <c r="F215" s="3" t="str">
        <f>_xlfn.XLOOKUP(C215,[1]Mapping!A:A,[1]Mapping!B:B," ")</f>
        <v>Gestao Conta</v>
      </c>
    </row>
    <row r="216" spans="1:6" ht="18" x14ac:dyDescent="0.2">
      <c r="A216" s="2">
        <v>45608</v>
      </c>
      <c r="B216" s="2">
        <v>45608</v>
      </c>
      <c r="C216" s="3" t="s">
        <v>36</v>
      </c>
      <c r="D216" s="7">
        <v>-218.92</v>
      </c>
      <c r="E216" s="4" t="s">
        <v>122</v>
      </c>
      <c r="F216" s="3" t="str">
        <f>_xlfn.XLOOKUP(C216,[1]Mapping!A:A,[1]Mapping!B:B," ")</f>
        <v>Elevadores</v>
      </c>
    </row>
    <row r="217" spans="1:6" ht="18" x14ac:dyDescent="0.2">
      <c r="A217" s="2">
        <v>45608</v>
      </c>
      <c r="B217" s="2">
        <v>45608</v>
      </c>
      <c r="C217" s="3" t="s">
        <v>32</v>
      </c>
      <c r="D217" s="8">
        <v>45</v>
      </c>
      <c r="E217" s="4" t="s">
        <v>123</v>
      </c>
      <c r="F217" s="3" t="str">
        <f>_xlfn.XLOOKUP(C217,[1]Mapping!A:A,[1]Mapping!B:B," ")</f>
        <v>4E</v>
      </c>
    </row>
    <row r="218" spans="1:6" ht="18" x14ac:dyDescent="0.2">
      <c r="A218" s="2">
        <v>45610</v>
      </c>
      <c r="B218" s="2">
        <v>45610</v>
      </c>
      <c r="C218" s="3" t="s">
        <v>37</v>
      </c>
      <c r="D218" s="7">
        <v>-7</v>
      </c>
      <c r="E218" s="4" t="s">
        <v>124</v>
      </c>
      <c r="F218" s="3" t="str">
        <f>_xlfn.XLOOKUP(C218,[1]Mapping!A:A,[1]Mapping!B:B," ")</f>
        <v>Gestao Conta</v>
      </c>
    </row>
    <row r="219" spans="1:6" ht="18" x14ac:dyDescent="0.2">
      <c r="A219" s="2">
        <v>45610</v>
      </c>
      <c r="B219" s="2">
        <v>45610</v>
      </c>
      <c r="C219" s="3" t="s">
        <v>38</v>
      </c>
      <c r="D219" s="8">
        <v>-0.28000000000000003</v>
      </c>
      <c r="E219" s="4" t="s">
        <v>125</v>
      </c>
      <c r="F219" s="3" t="str">
        <f>_xlfn.XLOOKUP(C219,[1]Mapping!A:A,[1]Mapping!B:B," ")</f>
        <v>Gestao Conta</v>
      </c>
    </row>
    <row r="220" spans="1:6" ht="18" x14ac:dyDescent="0.2">
      <c r="A220" s="2">
        <v>45626</v>
      </c>
      <c r="B220" s="2">
        <v>45626</v>
      </c>
      <c r="C220" s="3" t="s">
        <v>42</v>
      </c>
      <c r="D220" s="7">
        <v>45</v>
      </c>
      <c r="E220" s="4" t="s">
        <v>126</v>
      </c>
      <c r="F220" s="3" t="str">
        <f>_xlfn.XLOOKUP(C220,[1]Mapping!A:A,[1]Mapping!B:B," ")</f>
        <v>5E</v>
      </c>
    </row>
    <row r="221" spans="1:6" ht="18" x14ac:dyDescent="0.2">
      <c r="A221" s="2">
        <v>45627</v>
      </c>
      <c r="B221" s="2">
        <v>45627</v>
      </c>
      <c r="C221" s="3" t="s">
        <v>66</v>
      </c>
      <c r="D221" s="8">
        <v>45</v>
      </c>
      <c r="E221" s="4" t="s">
        <v>127</v>
      </c>
      <c r="F221" s="3" t="str">
        <f>_xlfn.XLOOKUP(C221,[1]Mapping!A:A,[1]Mapping!B:B," ")</f>
        <v>5D</v>
      </c>
    </row>
    <row r="222" spans="1:6" ht="18" x14ac:dyDescent="0.2">
      <c r="A222" s="2">
        <v>45627</v>
      </c>
      <c r="B222" s="2">
        <v>45627</v>
      </c>
      <c r="C222" s="3" t="s">
        <v>128</v>
      </c>
      <c r="D222" s="7">
        <v>-1</v>
      </c>
      <c r="E222" s="4" t="s">
        <v>129</v>
      </c>
      <c r="F222" s="3" t="str">
        <f>_xlfn.XLOOKUP(C222,[1]Mapping!A:A,[1]Mapping!B:B," ")</f>
        <v>Gestao Conta</v>
      </c>
    </row>
    <row r="223" spans="1:6" ht="18" x14ac:dyDescent="0.2">
      <c r="A223" s="2">
        <v>45627</v>
      </c>
      <c r="B223" s="2">
        <v>45627</v>
      </c>
      <c r="C223" s="3" t="s">
        <v>130</v>
      </c>
      <c r="D223" s="8">
        <v>-0.04</v>
      </c>
      <c r="E223" s="4" t="s">
        <v>131</v>
      </c>
      <c r="F223" s="3" t="str">
        <f>_xlfn.XLOOKUP(C223,[1]Mapping!A:A,[1]Mapping!B:B," ")</f>
        <v>Gestao Conta</v>
      </c>
    </row>
    <row r="224" spans="1:6" ht="18" x14ac:dyDescent="0.2">
      <c r="A224" s="2">
        <v>45627</v>
      </c>
      <c r="B224" s="2">
        <v>45627</v>
      </c>
      <c r="C224" s="3" t="s">
        <v>10</v>
      </c>
      <c r="D224" s="7">
        <v>-60</v>
      </c>
      <c r="E224" s="4" t="s">
        <v>132</v>
      </c>
      <c r="F224" s="3" t="str">
        <f>_xlfn.XLOOKUP(C224,[1]Mapping!A:A,[1]Mapping!B:B," ")</f>
        <v>Conta Poupança</v>
      </c>
    </row>
    <row r="225" spans="1:6" ht="18" x14ac:dyDescent="0.2">
      <c r="A225" s="2">
        <v>45628</v>
      </c>
      <c r="B225" s="2">
        <v>45628</v>
      </c>
      <c r="C225" s="3" t="s">
        <v>24</v>
      </c>
      <c r="D225" s="8">
        <v>-143.72999999999999</v>
      </c>
      <c r="E225" s="4" t="s">
        <v>133</v>
      </c>
      <c r="F225" s="3" t="str">
        <f>_xlfn.XLOOKUP(C225,[1]Mapping!A:A,[1]Mapping!B:B," ")</f>
        <v>Luz</v>
      </c>
    </row>
    <row r="226" spans="1:6" ht="18" x14ac:dyDescent="0.2">
      <c r="A226" s="2">
        <v>45628</v>
      </c>
      <c r="B226" s="2">
        <v>45628</v>
      </c>
      <c r="C226" s="3" t="s">
        <v>39</v>
      </c>
      <c r="D226" s="7">
        <v>45</v>
      </c>
      <c r="E226" s="4" t="s">
        <v>134</v>
      </c>
      <c r="F226" s="3" t="str">
        <f>_xlfn.XLOOKUP(C226,[1]Mapping!A:A,[1]Mapping!B:B," ")</f>
        <v>6E</v>
      </c>
    </row>
    <row r="227" spans="1:6" ht="18" x14ac:dyDescent="0.2">
      <c r="A227" s="2">
        <v>45629</v>
      </c>
      <c r="B227" s="2">
        <v>45629</v>
      </c>
      <c r="C227" s="3" t="s">
        <v>12</v>
      </c>
      <c r="D227" s="8">
        <v>45</v>
      </c>
      <c r="E227" s="4" t="s">
        <v>135</v>
      </c>
      <c r="F227" s="3" t="str">
        <f>_xlfn.XLOOKUP(C227,[1]Mapping!A:A,[1]Mapping!B:B," ")</f>
        <v>3D</v>
      </c>
    </row>
    <row r="228" spans="1:6" ht="18" x14ac:dyDescent="0.2">
      <c r="A228" s="2">
        <v>45693</v>
      </c>
      <c r="B228" s="2">
        <v>45693</v>
      </c>
      <c r="C228" s="3" t="s">
        <v>18</v>
      </c>
      <c r="D228" s="9">
        <v>45</v>
      </c>
      <c r="E228" s="4" t="s">
        <v>136</v>
      </c>
      <c r="F228" s="3" t="str">
        <f>_xlfn.XLOOKUP(C228,[1]Mapping!A:A,[1]Mapping!B:B," ")</f>
        <v>1D</v>
      </c>
    </row>
    <row r="229" spans="1:6" ht="18" x14ac:dyDescent="0.2">
      <c r="A229" s="2">
        <v>45630</v>
      </c>
      <c r="B229" s="2">
        <v>45630</v>
      </c>
      <c r="C229" s="3" t="s">
        <v>30</v>
      </c>
      <c r="D229" s="8">
        <v>45</v>
      </c>
      <c r="E229" s="4" t="s">
        <v>137</v>
      </c>
      <c r="F229" s="3" t="str">
        <f>_xlfn.XLOOKUP(C229,[1]Mapping!A:A,[1]Mapping!B:B," ")</f>
        <v>4D</v>
      </c>
    </row>
    <row r="230" spans="1:6" ht="18" x14ac:dyDescent="0.2">
      <c r="A230" s="2">
        <v>45631</v>
      </c>
      <c r="B230" s="2">
        <v>45631</v>
      </c>
      <c r="C230" s="3" t="s">
        <v>26</v>
      </c>
      <c r="D230" s="7">
        <v>50</v>
      </c>
      <c r="E230" s="4" t="s">
        <v>138</v>
      </c>
      <c r="F230" s="3" t="str">
        <f>_xlfn.XLOOKUP(C230,[1]Mapping!A:A,[1]Mapping!B:B," ")</f>
        <v>RCE</v>
      </c>
    </row>
    <row r="231" spans="1:6" ht="18" x14ac:dyDescent="0.2">
      <c r="A231" s="2">
        <v>45631</v>
      </c>
      <c r="B231" s="2">
        <v>45631</v>
      </c>
      <c r="C231" s="3" t="s">
        <v>28</v>
      </c>
      <c r="D231" s="8">
        <v>45</v>
      </c>
      <c r="E231" s="4" t="s">
        <v>139</v>
      </c>
      <c r="F231" s="3" t="str">
        <f>_xlfn.XLOOKUP(C231,[1]Mapping!A:A,[1]Mapping!B:B," ")</f>
        <v>CV</v>
      </c>
    </row>
    <row r="232" spans="1:6" ht="18" x14ac:dyDescent="0.2">
      <c r="A232" s="2">
        <v>45631</v>
      </c>
      <c r="B232" s="2">
        <v>45631</v>
      </c>
      <c r="C232" s="3" t="s">
        <v>77</v>
      </c>
      <c r="D232" s="7">
        <v>45</v>
      </c>
      <c r="E232" s="4" t="s">
        <v>140</v>
      </c>
      <c r="F232" s="3" t="str">
        <f>_xlfn.XLOOKUP(C232,[1]Mapping!A:A,[1]Mapping!B:B," ")</f>
        <v>2D</v>
      </c>
    </row>
    <row r="233" spans="1:6" ht="18" x14ac:dyDescent="0.2">
      <c r="A233" s="2">
        <v>45632</v>
      </c>
      <c r="B233" s="2">
        <v>45632</v>
      </c>
      <c r="C233" s="3" t="s">
        <v>32</v>
      </c>
      <c r="D233" s="8">
        <v>45</v>
      </c>
      <c r="E233" s="4" t="s">
        <v>141</v>
      </c>
      <c r="F233" s="3" t="str">
        <f>_xlfn.XLOOKUP(C233,[1]Mapping!A:A,[1]Mapping!B:B," ")</f>
        <v>4E</v>
      </c>
    </row>
    <row r="234" spans="1:6" ht="18" x14ac:dyDescent="0.2">
      <c r="A234" s="2">
        <v>45637</v>
      </c>
      <c r="B234" s="2">
        <v>45637</v>
      </c>
      <c r="C234" s="3" t="s">
        <v>36</v>
      </c>
      <c r="D234" s="7">
        <v>-218.92</v>
      </c>
      <c r="E234" s="4" t="s">
        <v>142</v>
      </c>
      <c r="F234" s="3" t="str">
        <f>_xlfn.XLOOKUP(C234,[1]Mapping!A:A,[1]Mapping!B:B," ")</f>
        <v>Elevadores</v>
      </c>
    </row>
    <row r="235" spans="1:6" ht="18" x14ac:dyDescent="0.2">
      <c r="A235" s="2">
        <v>45640</v>
      </c>
      <c r="B235" s="2">
        <v>45640</v>
      </c>
      <c r="C235" s="3" t="s">
        <v>37</v>
      </c>
      <c r="D235" s="8">
        <v>-7</v>
      </c>
      <c r="E235" s="4" t="s">
        <v>143</v>
      </c>
      <c r="F235" s="3" t="str">
        <f>_xlfn.XLOOKUP(C235,[1]Mapping!A:A,[1]Mapping!B:B," ")</f>
        <v>Gestao Conta</v>
      </c>
    </row>
    <row r="236" spans="1:6" ht="18" x14ac:dyDescent="0.2">
      <c r="A236" s="2">
        <v>45640</v>
      </c>
      <c r="B236" s="2">
        <v>45640</v>
      </c>
      <c r="C236" s="3" t="s">
        <v>38</v>
      </c>
      <c r="D236" s="7">
        <v>-0.28000000000000003</v>
      </c>
      <c r="E236" s="4" t="s">
        <v>144</v>
      </c>
      <c r="F236" s="3" t="str">
        <f>_xlfn.XLOOKUP(C236,[1]Mapping!A:A,[1]Mapping!B:B," ")</f>
        <v>Gestao Conta</v>
      </c>
    </row>
    <row r="237" spans="1:6" ht="18" x14ac:dyDescent="0.2">
      <c r="A237" s="2">
        <v>45644</v>
      </c>
      <c r="B237" s="2">
        <v>45644</v>
      </c>
      <c r="C237" s="3" t="s">
        <v>145</v>
      </c>
      <c r="D237" s="8">
        <v>-198.65</v>
      </c>
      <c r="E237" s="4" t="s">
        <v>146</v>
      </c>
      <c r="F237" s="3" t="str">
        <f>_xlfn.XLOOKUP(C237,[1]Mapping!A:A,[1]Mapping!B:B," ")</f>
        <v>Bomba Agua</v>
      </c>
    </row>
    <row r="238" spans="1:6" ht="18" x14ac:dyDescent="0.2">
      <c r="A238" s="2">
        <v>45644</v>
      </c>
      <c r="B238" s="2">
        <v>45644</v>
      </c>
      <c r="C238" s="3" t="s">
        <v>147</v>
      </c>
      <c r="D238" s="7">
        <v>-140</v>
      </c>
      <c r="E238" s="4" t="s">
        <v>148</v>
      </c>
      <c r="F238" s="3" t="str">
        <f>_xlfn.XLOOKUP(C238,[1]Mapping!A:A,[1]Mapping!B:B," ")</f>
        <v>Electrecista</v>
      </c>
    </row>
    <row r="239" spans="1:6" ht="18" x14ac:dyDescent="0.2">
      <c r="A239" s="2">
        <v>45650</v>
      </c>
      <c r="B239" s="2">
        <v>45650</v>
      </c>
      <c r="C239" s="3" t="s">
        <v>149</v>
      </c>
      <c r="D239" s="8">
        <v>450</v>
      </c>
      <c r="E239" s="4" t="s">
        <v>150</v>
      </c>
      <c r="F239" s="3" t="str">
        <f>_xlfn.XLOOKUP(C239,[1]Mapping!A:A,[1]Mapping!B:B," ")</f>
        <v>Garagem</v>
      </c>
    </row>
    <row r="240" spans="1:6" ht="18" x14ac:dyDescent="0.2">
      <c r="A240" s="2">
        <v>45656</v>
      </c>
      <c r="B240" s="2">
        <v>45656</v>
      </c>
      <c r="C240" s="3" t="s">
        <v>42</v>
      </c>
      <c r="D240" s="7">
        <v>45</v>
      </c>
      <c r="E240" s="4" t="s">
        <v>151</v>
      </c>
      <c r="F240" s="3" t="str">
        <f>_xlfn.XLOOKUP(C240,[1]Mapping!A:A,[1]Mapping!B:B," ")</f>
        <v>5E</v>
      </c>
    </row>
    <row r="241" spans="1:6" ht="18" x14ac:dyDescent="0.2">
      <c r="A241" s="2">
        <v>45658</v>
      </c>
      <c r="B241" s="2">
        <v>45658</v>
      </c>
      <c r="C241" s="3" t="s">
        <v>66</v>
      </c>
      <c r="D241" s="8">
        <v>45</v>
      </c>
      <c r="E241" s="4" t="s">
        <v>152</v>
      </c>
      <c r="F241" s="3" t="str">
        <f>_xlfn.XLOOKUP(C241,[1]Mapping!A:A,[1]Mapping!B:B," ")</f>
        <v>5D</v>
      </c>
    </row>
    <row r="242" spans="1:6" ht="18" x14ac:dyDescent="0.2">
      <c r="A242" s="2">
        <v>45658</v>
      </c>
      <c r="B242" s="2">
        <v>45658</v>
      </c>
      <c r="C242" s="3" t="s">
        <v>153</v>
      </c>
      <c r="D242" s="7">
        <v>-1</v>
      </c>
      <c r="E242" s="4" t="s">
        <v>154</v>
      </c>
      <c r="F242" s="3" t="str">
        <f>_xlfn.XLOOKUP(C242,[1]Mapping!A:A,[1]Mapping!B:B," ")</f>
        <v>Gestao Conta</v>
      </c>
    </row>
    <row r="243" spans="1:6" ht="18" x14ac:dyDescent="0.2">
      <c r="A243" s="2">
        <v>45658</v>
      </c>
      <c r="B243" s="2">
        <v>45658</v>
      </c>
      <c r="C243" s="3" t="s">
        <v>155</v>
      </c>
      <c r="D243" s="8">
        <v>-0.04</v>
      </c>
      <c r="E243" s="4" t="s">
        <v>156</v>
      </c>
      <c r="F243" s="3" t="str">
        <f>_xlfn.XLOOKUP(C243,[1]Mapping!A:A,[1]Mapping!B:B," ")</f>
        <v>Gestao Conta</v>
      </c>
    </row>
    <row r="244" spans="1:6" ht="18" x14ac:dyDescent="0.2">
      <c r="A244" s="2">
        <v>45658</v>
      </c>
      <c r="B244" s="2">
        <v>45658</v>
      </c>
      <c r="C244" s="3" t="s">
        <v>10</v>
      </c>
      <c r="D244" s="7">
        <v>-60</v>
      </c>
      <c r="E244" s="4" t="s">
        <v>157</v>
      </c>
      <c r="F244" s="3" t="str">
        <f>_xlfn.XLOOKUP(C244,[1]Mapping!A:A,[1]Mapping!B:B," ")</f>
        <v>Conta Poupança</v>
      </c>
    </row>
    <row r="245" spans="1:6" ht="18" x14ac:dyDescent="0.2">
      <c r="A245" s="2">
        <v>45659</v>
      </c>
      <c r="B245" s="2">
        <v>45659</v>
      </c>
      <c r="C245" s="3" t="s">
        <v>12</v>
      </c>
      <c r="D245" s="8">
        <v>45</v>
      </c>
      <c r="E245" s="4" t="s">
        <v>158</v>
      </c>
      <c r="F245" s="3" t="str">
        <f>_xlfn.XLOOKUP(C245,[1]Mapping!A:A,[1]Mapping!B:B," ")</f>
        <v>3D</v>
      </c>
    </row>
    <row r="246" spans="1:6" ht="18" x14ac:dyDescent="0.2">
      <c r="A246" s="2">
        <v>45659</v>
      </c>
      <c r="B246" s="2">
        <v>45659</v>
      </c>
      <c r="C246" s="3" t="s">
        <v>24</v>
      </c>
      <c r="D246" s="7">
        <v>-151.59</v>
      </c>
      <c r="E246" s="4" t="s">
        <v>159</v>
      </c>
      <c r="F246" s="3" t="str">
        <f>_xlfn.XLOOKUP(C246,[1]Mapping!A:A,[1]Mapping!B:B," ")</f>
        <v>Luz</v>
      </c>
    </row>
    <row r="247" spans="1:6" ht="18" x14ac:dyDescent="0.2">
      <c r="A247" s="2">
        <v>45659</v>
      </c>
      <c r="B247" s="2">
        <v>45659</v>
      </c>
      <c r="C247" s="3" t="s">
        <v>160</v>
      </c>
      <c r="D247" s="8">
        <v>45</v>
      </c>
      <c r="E247" s="4" t="s">
        <v>161</v>
      </c>
      <c r="F247" s="3" t="str">
        <f>_xlfn.XLOOKUP(C247,[1]Mapping!A:A,[1]Mapping!B:B," ")</f>
        <v>4D</v>
      </c>
    </row>
    <row r="248" spans="1:6" ht="18" x14ac:dyDescent="0.2">
      <c r="A248" s="2">
        <v>45660</v>
      </c>
      <c r="B248" s="2">
        <v>45660</v>
      </c>
      <c r="C248" s="3" t="s">
        <v>12</v>
      </c>
      <c r="D248" s="7">
        <v>45</v>
      </c>
      <c r="E248" s="4" t="s">
        <v>162</v>
      </c>
      <c r="F248" s="3" t="str">
        <f>_xlfn.XLOOKUP(C248,[1]Mapping!A:A,[1]Mapping!B:B," ")</f>
        <v>3D</v>
      </c>
    </row>
    <row r="249" spans="1:6" ht="18" x14ac:dyDescent="0.2">
      <c r="A249" s="2">
        <v>45662</v>
      </c>
      <c r="B249" s="2">
        <v>45662</v>
      </c>
      <c r="C249" s="3" t="s">
        <v>26</v>
      </c>
      <c r="D249" s="8">
        <v>50</v>
      </c>
      <c r="E249" s="4" t="s">
        <v>163</v>
      </c>
      <c r="F249" s="3" t="str">
        <f>_xlfn.XLOOKUP(C249,[1]Mapping!A:A,[1]Mapping!B:B," ")</f>
        <v>RCE</v>
      </c>
    </row>
    <row r="250" spans="1:6" ht="18" x14ac:dyDescent="0.2">
      <c r="A250" s="2">
        <v>45662</v>
      </c>
      <c r="B250" s="2">
        <v>45662</v>
      </c>
      <c r="C250" s="3" t="s">
        <v>28</v>
      </c>
      <c r="D250" s="7">
        <v>45</v>
      </c>
      <c r="E250" s="4" t="s">
        <v>164</v>
      </c>
      <c r="F250" s="3" t="str">
        <f>_xlfn.XLOOKUP(C250,[1]Mapping!A:A,[1]Mapping!B:B," ")</f>
        <v>CV</v>
      </c>
    </row>
    <row r="251" spans="1:6" ht="18" x14ac:dyDescent="0.2">
      <c r="A251" s="2">
        <v>45664</v>
      </c>
      <c r="B251" s="2">
        <v>45664</v>
      </c>
      <c r="C251" s="3" t="s">
        <v>77</v>
      </c>
      <c r="D251" s="8">
        <v>45</v>
      </c>
      <c r="E251" s="4" t="s">
        <v>165</v>
      </c>
      <c r="F251" s="3" t="str">
        <f>_xlfn.XLOOKUP(C251,[1]Mapping!A:A,[1]Mapping!B:B," ")</f>
        <v>2D</v>
      </c>
    </row>
    <row r="252" spans="1:6" ht="18" x14ac:dyDescent="0.2">
      <c r="A252" s="2">
        <v>45664</v>
      </c>
      <c r="B252" s="2">
        <v>45664</v>
      </c>
      <c r="C252" s="3" t="s">
        <v>18</v>
      </c>
      <c r="D252" s="7">
        <v>45</v>
      </c>
      <c r="E252" s="4" t="s">
        <v>166</v>
      </c>
      <c r="F252" s="3" t="str">
        <f>_xlfn.XLOOKUP(C252,[1]Mapping!A:A,[1]Mapping!B:B," ")</f>
        <v>1D</v>
      </c>
    </row>
    <row r="253" spans="1:6" ht="18" x14ac:dyDescent="0.2">
      <c r="A253" s="2">
        <v>45665</v>
      </c>
      <c r="B253" s="2">
        <v>45665</v>
      </c>
      <c r="C253" s="3" t="s">
        <v>32</v>
      </c>
      <c r="D253" s="8">
        <v>45</v>
      </c>
      <c r="E253" s="4" t="s">
        <v>167</v>
      </c>
      <c r="F253" s="3" t="str">
        <f>_xlfn.XLOOKUP(C253,[1]Mapping!A:A,[1]Mapping!B:B," ")</f>
        <v>4E</v>
      </c>
    </row>
    <row r="254" spans="1:6" ht="18" x14ac:dyDescent="0.2">
      <c r="A254" s="2">
        <v>45665</v>
      </c>
      <c r="B254" s="2">
        <v>45665</v>
      </c>
      <c r="C254" s="3" t="s">
        <v>168</v>
      </c>
      <c r="D254" s="7">
        <v>45</v>
      </c>
      <c r="E254" s="4" t="s">
        <v>169</v>
      </c>
      <c r="F254" s="3" t="str">
        <f>_xlfn.XLOOKUP(C254,[1]Mapping!A:A,[1]Mapping!B:B," ")</f>
        <v>6E</v>
      </c>
    </row>
    <row r="255" spans="1:6" ht="18" x14ac:dyDescent="0.2">
      <c r="A255" s="2">
        <v>45666</v>
      </c>
      <c r="B255" s="2">
        <v>45666</v>
      </c>
      <c r="C255" s="3" t="s">
        <v>170</v>
      </c>
      <c r="D255" s="8">
        <v>20</v>
      </c>
      <c r="E255" s="4" t="s">
        <v>171</v>
      </c>
      <c r="F255" s="3" t="str">
        <f>_xlfn.XLOOKUP(C255,[1]Mapping!A:A,[1]Mapping!B:B," ")</f>
        <v>RCD</v>
      </c>
    </row>
    <row r="256" spans="1:6" ht="18" x14ac:dyDescent="0.2">
      <c r="A256" s="2">
        <v>45670</v>
      </c>
      <c r="B256" s="2">
        <v>45670</v>
      </c>
      <c r="C256" s="3" t="s">
        <v>36</v>
      </c>
      <c r="D256" s="4">
        <v>-218.92</v>
      </c>
      <c r="E256" s="4" t="s">
        <v>172</v>
      </c>
      <c r="F256" s="3" t="str">
        <f>_xlfn.XLOOKUP(C256,[1]Mapping!A:A,[1]Mapping!B:B," ")</f>
        <v>Elevadores</v>
      </c>
    </row>
    <row r="257" spans="1:6" ht="18" x14ac:dyDescent="0.2">
      <c r="A257" s="2">
        <v>45671</v>
      </c>
      <c r="B257" s="2">
        <v>45671</v>
      </c>
      <c r="C257" s="3" t="s">
        <v>173</v>
      </c>
      <c r="D257" s="4">
        <v>-963</v>
      </c>
      <c r="E257" s="4">
        <v>853.23</v>
      </c>
      <c r="F257" s="3" t="str">
        <f>_xlfn.XLOOKUP(C257,[1]Mapping!A:A,[1]Mapping!B:B," ")</f>
        <v>Outos pagamentos</v>
      </c>
    </row>
    <row r="258" spans="1:6" ht="18" x14ac:dyDescent="0.2">
      <c r="A258" s="2">
        <v>45671</v>
      </c>
      <c r="B258" s="2">
        <v>45671</v>
      </c>
      <c r="C258" s="3" t="s">
        <v>37</v>
      </c>
      <c r="D258" s="4">
        <v>-7</v>
      </c>
      <c r="E258" s="4">
        <v>846.23</v>
      </c>
      <c r="F258" s="3" t="str">
        <f>_xlfn.XLOOKUP(C258,[1]Mapping!A:A,[1]Mapping!B:B," ")</f>
        <v>Gestao Conta</v>
      </c>
    </row>
    <row r="259" spans="1:6" ht="18" x14ac:dyDescent="0.2">
      <c r="A259" s="2">
        <v>45671</v>
      </c>
      <c r="B259" s="2">
        <v>45671</v>
      </c>
      <c r="C259" s="3" t="s">
        <v>38</v>
      </c>
      <c r="D259" s="4">
        <v>-0.28000000000000003</v>
      </c>
      <c r="E259" s="4">
        <v>845.95</v>
      </c>
      <c r="F259" s="3" t="str">
        <f>_xlfn.XLOOKUP(C259,[1]Mapping!A:A,[1]Mapping!B:B," ")</f>
        <v>Gestao Conta</v>
      </c>
    </row>
    <row r="260" spans="1:6" ht="18" x14ac:dyDescent="0.2">
      <c r="A260" s="2">
        <v>45672</v>
      </c>
      <c r="B260" s="2">
        <v>45672</v>
      </c>
      <c r="C260" s="3" t="s">
        <v>103</v>
      </c>
      <c r="D260" s="4">
        <v>90</v>
      </c>
      <c r="E260" s="4">
        <v>935.95</v>
      </c>
      <c r="F260" s="3" t="str">
        <f>_xlfn.XLOOKUP(C260,[1]Mapping!A:A,[1]Mapping!B:B," ")</f>
        <v>2E</v>
      </c>
    </row>
    <row r="261" spans="1:6" ht="18" x14ac:dyDescent="0.2">
      <c r="A261" s="2">
        <v>45685</v>
      </c>
      <c r="B261" s="2">
        <v>45685</v>
      </c>
      <c r="C261" s="3" t="s">
        <v>14</v>
      </c>
      <c r="D261" s="4">
        <v>45</v>
      </c>
      <c r="E261" s="4">
        <v>980.95</v>
      </c>
      <c r="F261" s="3" t="str">
        <f>_xlfn.XLOOKUP(C261,[1]Mapping!A:A,[1]Mapping!B:B," ")</f>
        <v>1E</v>
      </c>
    </row>
    <row r="262" spans="1:6" ht="18" x14ac:dyDescent="0.2">
      <c r="A262" s="2">
        <v>45686</v>
      </c>
      <c r="B262" s="2">
        <v>45686</v>
      </c>
      <c r="C262" s="3" t="s">
        <v>170</v>
      </c>
      <c r="D262" s="4">
        <v>20</v>
      </c>
      <c r="E262" s="4" t="s">
        <v>174</v>
      </c>
      <c r="F262" s="3" t="str">
        <f>_xlfn.XLOOKUP(C262,[1]Mapping!A:A,[1]Mapping!B:B," ")</f>
        <v>RCD</v>
      </c>
    </row>
    <row r="263" spans="1:6" ht="18" x14ac:dyDescent="0.2">
      <c r="A263" s="2">
        <v>45687</v>
      </c>
      <c r="B263" s="2">
        <v>45687</v>
      </c>
      <c r="C263" s="3" t="s">
        <v>42</v>
      </c>
      <c r="D263" s="4">
        <v>45</v>
      </c>
      <c r="E263" s="4" t="s">
        <v>175</v>
      </c>
      <c r="F263" s="3" t="str">
        <f>_xlfn.XLOOKUP(C263,[1]Mapping!A:A,[1]Mapping!B:B," ")</f>
        <v>5E</v>
      </c>
    </row>
    <row r="264" spans="1:6" ht="18" x14ac:dyDescent="0.2">
      <c r="A264" s="2">
        <v>45687</v>
      </c>
      <c r="B264" s="2">
        <v>45687</v>
      </c>
      <c r="C264" s="3" t="s">
        <v>24</v>
      </c>
      <c r="D264" s="4">
        <v>-155.18</v>
      </c>
      <c r="E264" s="4">
        <v>890.77</v>
      </c>
      <c r="F264" s="3" t="str">
        <f>_xlfn.XLOOKUP(C264,[1]Mapping!A:A,[1]Mapping!B:B," ")</f>
        <v>Luz</v>
      </c>
    </row>
    <row r="265" spans="1:6" ht="18" x14ac:dyDescent="0.2">
      <c r="A265" s="2">
        <v>45689</v>
      </c>
      <c r="B265" s="2">
        <v>45689</v>
      </c>
      <c r="C265" s="3" t="s">
        <v>66</v>
      </c>
      <c r="D265" s="4">
        <v>45</v>
      </c>
      <c r="E265" s="4">
        <v>935.77</v>
      </c>
      <c r="F265" s="3" t="str">
        <f>_xlfn.XLOOKUP(C265,[1]Mapping!A:A,[1]Mapping!B:B," ")</f>
        <v>5D</v>
      </c>
    </row>
    <row r="266" spans="1:6" ht="18" x14ac:dyDescent="0.2">
      <c r="A266" s="2">
        <v>45689</v>
      </c>
      <c r="B266" s="2">
        <v>45689</v>
      </c>
      <c r="C266" s="3" t="s">
        <v>176</v>
      </c>
      <c r="D266" s="4">
        <v>-1</v>
      </c>
      <c r="E266" s="4">
        <v>934.77</v>
      </c>
      <c r="F266" s="3" t="str">
        <f>_xlfn.XLOOKUP(C266,[1]Mapping!A:A,[1]Mapping!B:B," ")</f>
        <v>Gestao Conta</v>
      </c>
    </row>
    <row r="267" spans="1:6" ht="18" x14ac:dyDescent="0.2">
      <c r="A267" s="2">
        <v>45689</v>
      </c>
      <c r="B267" s="2">
        <v>45689</v>
      </c>
      <c r="C267" s="3" t="s">
        <v>177</v>
      </c>
      <c r="D267" s="4">
        <v>-0.04</v>
      </c>
      <c r="E267" s="4">
        <v>934.73</v>
      </c>
      <c r="F267" s="3" t="str">
        <f>_xlfn.XLOOKUP(C267,[1]Mapping!A:A,[1]Mapping!B:B," ")</f>
        <v>Gestao Conta</v>
      </c>
    </row>
    <row r="268" spans="1:6" ht="18" x14ac:dyDescent="0.2">
      <c r="A268" s="2">
        <v>45689</v>
      </c>
      <c r="B268" s="2">
        <v>45689</v>
      </c>
      <c r="C268" s="3" t="s">
        <v>10</v>
      </c>
      <c r="D268" s="4">
        <v>-60</v>
      </c>
      <c r="E268" s="4">
        <v>874.73</v>
      </c>
      <c r="F268" s="3" t="str">
        <f>_xlfn.XLOOKUP(C268,[1]Mapping!A:A,[1]Mapping!B:B," ")</f>
        <v>Conta Poupança</v>
      </c>
    </row>
    <row r="269" spans="1:6" ht="18" x14ac:dyDescent="0.2">
      <c r="A269" s="2">
        <v>45690</v>
      </c>
      <c r="B269" s="2">
        <v>45690</v>
      </c>
      <c r="C269" s="3" t="s">
        <v>168</v>
      </c>
      <c r="D269" s="4">
        <v>45</v>
      </c>
      <c r="E269" s="4">
        <v>919.73</v>
      </c>
      <c r="F269" s="3" t="str">
        <f>_xlfn.XLOOKUP(C269,[1]Mapping!A:A,[1]Mapping!B:B," ")</f>
        <v>6E</v>
      </c>
    </row>
    <row r="270" spans="1:6" ht="18" x14ac:dyDescent="0.2">
      <c r="A270" s="2">
        <v>45691</v>
      </c>
      <c r="B270" s="2">
        <v>45691</v>
      </c>
      <c r="C270" s="3" t="s">
        <v>178</v>
      </c>
      <c r="D270" s="4">
        <v>80</v>
      </c>
      <c r="E270" s="4">
        <v>999.73</v>
      </c>
      <c r="F270" s="3" t="str">
        <f>_xlfn.XLOOKUP(C270,[1]Mapping!A:A,[1]Mapping!B:B," ")</f>
        <v>3E</v>
      </c>
    </row>
    <row r="271" spans="1:6" ht="18" x14ac:dyDescent="0.2">
      <c r="A271" s="2">
        <v>45692</v>
      </c>
      <c r="B271" s="2">
        <v>45692</v>
      </c>
      <c r="C271" s="3" t="s">
        <v>12</v>
      </c>
      <c r="D271" s="4">
        <v>45</v>
      </c>
      <c r="E271" s="4" t="s">
        <v>179</v>
      </c>
      <c r="F271" s="3" t="str">
        <f>_xlfn.XLOOKUP(C271,[1]Mapping!A:A,[1]Mapping!B:B," ")</f>
        <v>3D</v>
      </c>
    </row>
    <row r="272" spans="1:6" ht="18" x14ac:dyDescent="0.2">
      <c r="A272" s="2">
        <v>45692</v>
      </c>
      <c r="B272" s="2">
        <v>45692</v>
      </c>
      <c r="C272" s="3" t="s">
        <v>14</v>
      </c>
      <c r="D272" s="4">
        <v>45</v>
      </c>
      <c r="E272" s="4" t="s">
        <v>180</v>
      </c>
      <c r="F272" s="3" t="str">
        <f>_xlfn.XLOOKUP(C272,[1]Mapping!A:A,[1]Mapping!B:B," ")</f>
        <v>1E</v>
      </c>
    </row>
    <row r="273" spans="1:6" ht="18" x14ac:dyDescent="0.2">
      <c r="A273" s="2">
        <v>45692</v>
      </c>
      <c r="B273" s="2">
        <v>45692</v>
      </c>
      <c r="C273" s="3" t="s">
        <v>160</v>
      </c>
      <c r="D273" s="4">
        <v>45</v>
      </c>
      <c r="E273" s="4" t="s">
        <v>181</v>
      </c>
      <c r="F273" s="3" t="str">
        <f>_xlfn.XLOOKUP(C273,[1]Mapping!A:A,[1]Mapping!B:B," ")</f>
        <v>4D</v>
      </c>
    </row>
    <row r="274" spans="1:6" ht="18" x14ac:dyDescent="0.2">
      <c r="A274" s="2">
        <v>45693</v>
      </c>
      <c r="B274" s="2">
        <v>45693</v>
      </c>
      <c r="C274" s="3" t="s">
        <v>26</v>
      </c>
      <c r="D274" s="4">
        <v>50</v>
      </c>
      <c r="E274" s="4" t="s">
        <v>182</v>
      </c>
      <c r="F274" s="3" t="str">
        <f>_xlfn.XLOOKUP(C274,[1]Mapping!A:A,[1]Mapping!B:B," ")</f>
        <v>RCE</v>
      </c>
    </row>
    <row r="275" spans="1:6" ht="18" x14ac:dyDescent="0.2">
      <c r="A275" s="2">
        <v>45693</v>
      </c>
      <c r="B275" s="2">
        <v>45693</v>
      </c>
      <c r="C275" s="3" t="s">
        <v>28</v>
      </c>
      <c r="D275" s="4">
        <v>45</v>
      </c>
      <c r="E275" s="4" t="s">
        <v>183</v>
      </c>
      <c r="F275" s="3" t="str">
        <f>_xlfn.XLOOKUP(C275,[1]Mapping!A:A,[1]Mapping!B:B," ")</f>
        <v>CV</v>
      </c>
    </row>
    <row r="276" spans="1:6" ht="18" x14ac:dyDescent="0.2">
      <c r="A276" s="2">
        <v>45630</v>
      </c>
      <c r="B276" s="2">
        <v>45630</v>
      </c>
      <c r="C276" s="3" t="s">
        <v>18</v>
      </c>
      <c r="D276" s="10">
        <v>45</v>
      </c>
      <c r="E276" s="4" t="s">
        <v>184</v>
      </c>
      <c r="F276" s="3" t="str">
        <f>_xlfn.XLOOKUP(C276,[1]Mapping!A:A,[1]Mapping!B:B," ")</f>
        <v>1D</v>
      </c>
    </row>
    <row r="277" spans="1:6" ht="18" x14ac:dyDescent="0.2">
      <c r="A277" s="2">
        <v>45693</v>
      </c>
      <c r="B277" s="2">
        <v>45693</v>
      </c>
      <c r="C277" s="3" t="s">
        <v>77</v>
      </c>
      <c r="D277" s="4">
        <v>45</v>
      </c>
      <c r="E277" s="4" t="s">
        <v>185</v>
      </c>
      <c r="F277" s="3" t="str">
        <f>_xlfn.XLOOKUP(C277,[1]Mapping!A:A,[1]Mapping!B:B," ")</f>
        <v>2D</v>
      </c>
    </row>
    <row r="278" spans="1:6" ht="18" x14ac:dyDescent="0.2">
      <c r="A278" s="2">
        <v>45699</v>
      </c>
      <c r="B278" s="2">
        <v>45699</v>
      </c>
      <c r="C278" s="3" t="s">
        <v>36</v>
      </c>
      <c r="D278" s="4">
        <v>-218.92</v>
      </c>
      <c r="E278" s="4" t="s">
        <v>186</v>
      </c>
      <c r="F278" s="3" t="str">
        <f>_xlfn.XLOOKUP(C278,[1]Mapping!A:A,[1]Mapping!B:B," ")</f>
        <v>Elevadores</v>
      </c>
    </row>
    <row r="279" spans="1:6" ht="18" x14ac:dyDescent="0.2">
      <c r="A279" s="2">
        <v>45700</v>
      </c>
      <c r="B279" s="2">
        <v>45700</v>
      </c>
      <c r="C279" s="3" t="s">
        <v>32</v>
      </c>
      <c r="D279" s="4">
        <v>45</v>
      </c>
      <c r="E279" s="4" t="s">
        <v>187</v>
      </c>
      <c r="F279" s="3" t="str">
        <f>_xlfn.XLOOKUP(C279,[1]Mapping!A:A,[1]Mapping!B:B," ")</f>
        <v>4E</v>
      </c>
    </row>
    <row r="280" spans="1:6" ht="18" x14ac:dyDescent="0.2">
      <c r="A280" s="2">
        <v>45702</v>
      </c>
      <c r="B280" s="2">
        <v>45702</v>
      </c>
      <c r="C280" s="3" t="s">
        <v>37</v>
      </c>
      <c r="D280" s="4">
        <v>-7</v>
      </c>
      <c r="E280" s="4" t="s">
        <v>188</v>
      </c>
      <c r="F280" s="3" t="str">
        <f>_xlfn.XLOOKUP(C280,[1]Mapping!A:A,[1]Mapping!B:B," ")</f>
        <v>Gestao Conta</v>
      </c>
    </row>
    <row r="281" spans="1:6" ht="18" x14ac:dyDescent="0.2">
      <c r="A281" s="2">
        <v>45702</v>
      </c>
      <c r="B281" s="2">
        <v>45702</v>
      </c>
      <c r="C281" s="3" t="s">
        <v>38</v>
      </c>
      <c r="D281" s="4">
        <v>-0.28000000000000003</v>
      </c>
      <c r="E281" s="4" t="s">
        <v>189</v>
      </c>
      <c r="F281" s="3" t="str">
        <f>_xlfn.XLOOKUP(C281,[1]Mapping!A:A,[1]Mapping!B:B," ")</f>
        <v>Gestao Conta</v>
      </c>
    </row>
    <row r="282" spans="1:6" ht="18" x14ac:dyDescent="0.2">
      <c r="A282" s="2">
        <v>45714</v>
      </c>
      <c r="B282" s="2">
        <v>45714</v>
      </c>
      <c r="C282" s="3" t="s">
        <v>170</v>
      </c>
      <c r="D282" s="4">
        <v>20</v>
      </c>
      <c r="E282" s="4" t="s">
        <v>190</v>
      </c>
      <c r="F282" s="3" t="str">
        <f>_xlfn.XLOOKUP(C282,[1]Mapping!A:A,[1]Mapping!B:B," ")</f>
        <v>RCD</v>
      </c>
    </row>
    <row r="283" spans="1:6" ht="18" x14ac:dyDescent="0.2">
      <c r="A283" s="2">
        <v>45716</v>
      </c>
      <c r="B283" s="2">
        <v>45716</v>
      </c>
      <c r="C283" s="3" t="s">
        <v>42</v>
      </c>
      <c r="D283" s="4">
        <v>45</v>
      </c>
      <c r="E283" s="4" t="s">
        <v>191</v>
      </c>
      <c r="F283" s="3" t="str">
        <f>_xlfn.XLOOKUP(C283,[1]Mapping!A:A,[1]Mapping!B:B," ")</f>
        <v>5E</v>
      </c>
    </row>
    <row r="284" spans="1:6" ht="18" x14ac:dyDescent="0.2">
      <c r="A284" s="2">
        <v>45716</v>
      </c>
      <c r="B284" s="2">
        <v>45716</v>
      </c>
      <c r="C284" s="3" t="s">
        <v>24</v>
      </c>
      <c r="D284" s="4">
        <v>-158.69999999999999</v>
      </c>
      <c r="E284" s="4" t="s">
        <v>192</v>
      </c>
      <c r="F284" s="3" t="str">
        <f>_xlfn.XLOOKUP(C284,[1]Mapping!A:A,[1]Mapping!B:B," ")</f>
        <v>Luz</v>
      </c>
    </row>
    <row r="285" spans="1:6" ht="18" x14ac:dyDescent="0.2">
      <c r="A285" s="2">
        <v>45717</v>
      </c>
      <c r="B285" s="2">
        <v>45717</v>
      </c>
      <c r="C285" s="3" t="s">
        <v>66</v>
      </c>
      <c r="D285" s="4">
        <v>45</v>
      </c>
      <c r="E285" s="4" t="s">
        <v>193</v>
      </c>
      <c r="F285" s="3" t="str">
        <f>_xlfn.XLOOKUP(C285,[1]Mapping!A:A,[1]Mapping!B:B," ")</f>
        <v>5D</v>
      </c>
    </row>
    <row r="286" spans="1:6" ht="18" x14ac:dyDescent="0.2">
      <c r="A286" s="2">
        <v>45717</v>
      </c>
      <c r="B286" s="2">
        <v>45717</v>
      </c>
      <c r="C286" s="3" t="s">
        <v>194</v>
      </c>
      <c r="D286" s="4">
        <v>-1</v>
      </c>
      <c r="E286" s="4" t="s">
        <v>195</v>
      </c>
      <c r="F286" s="3" t="str">
        <f>_xlfn.XLOOKUP(C286,[1]Mapping!A:A,[1]Mapping!B:B," ")</f>
        <v>Gestao Conta</v>
      </c>
    </row>
    <row r="287" spans="1:6" ht="18" x14ac:dyDescent="0.2">
      <c r="A287" s="2">
        <v>45717</v>
      </c>
      <c r="B287" s="2">
        <v>45717</v>
      </c>
      <c r="C287" s="3" t="s">
        <v>196</v>
      </c>
      <c r="D287" s="4">
        <v>-0.04</v>
      </c>
      <c r="E287" s="4" t="s">
        <v>197</v>
      </c>
      <c r="F287" s="3" t="str">
        <f>_xlfn.XLOOKUP(C287,[1]Mapping!A:A,[1]Mapping!B:B," ")</f>
        <v>Gestao Conta</v>
      </c>
    </row>
    <row r="288" spans="1:6" ht="18" x14ac:dyDescent="0.2">
      <c r="A288" s="2">
        <v>45717</v>
      </c>
      <c r="B288" s="2">
        <v>45717</v>
      </c>
      <c r="C288" s="3" t="s">
        <v>10</v>
      </c>
      <c r="D288" s="4">
        <v>-60</v>
      </c>
      <c r="E288" s="4" t="s">
        <v>198</v>
      </c>
      <c r="F288" s="3" t="str">
        <f>_xlfn.XLOOKUP(C288,[1]Mapping!A:A,[1]Mapping!B:B," ")</f>
        <v>Conta Poupança</v>
      </c>
    </row>
    <row r="289" spans="1:6" ht="18" x14ac:dyDescent="0.2">
      <c r="A289" s="2">
        <v>45718</v>
      </c>
      <c r="B289" s="2">
        <v>45718</v>
      </c>
      <c r="C289" s="3" t="s">
        <v>199</v>
      </c>
      <c r="D289" s="4">
        <v>45</v>
      </c>
      <c r="E289" s="4" t="s">
        <v>200</v>
      </c>
      <c r="F289" s="3" t="str">
        <f>_xlfn.XLOOKUP(C289,[1]Mapping!A:A,[1]Mapping!B:B," ")</f>
        <v>6D</v>
      </c>
    </row>
    <row r="290" spans="1:6" ht="18" x14ac:dyDescent="0.2">
      <c r="A290" s="2">
        <v>45719</v>
      </c>
      <c r="B290" s="2">
        <v>45719</v>
      </c>
      <c r="C290" s="3" t="s">
        <v>160</v>
      </c>
      <c r="D290" s="4">
        <v>45</v>
      </c>
      <c r="E290" s="4" t="s">
        <v>201</v>
      </c>
      <c r="F290" s="3" t="str">
        <f>_xlfn.XLOOKUP(C290,[1]Mapping!A:A,[1]Mapping!B:B," ")</f>
        <v>4D</v>
      </c>
    </row>
    <row r="291" spans="1:6" ht="18" x14ac:dyDescent="0.2">
      <c r="A291" s="2">
        <v>45720</v>
      </c>
      <c r="B291" s="2">
        <v>45720</v>
      </c>
      <c r="C291" s="3" t="s">
        <v>12</v>
      </c>
      <c r="D291" s="4">
        <v>45</v>
      </c>
      <c r="E291" s="4" t="s">
        <v>202</v>
      </c>
      <c r="F291" s="3" t="str">
        <f>_xlfn.XLOOKUP(C291,[1]Mapping!A:A,[1]Mapping!B:B," ")</f>
        <v>3D</v>
      </c>
    </row>
    <row r="292" spans="1:6" ht="18" x14ac:dyDescent="0.2">
      <c r="A292" s="2">
        <v>45721</v>
      </c>
      <c r="B292" s="2">
        <v>45721</v>
      </c>
      <c r="C292" s="3" t="s">
        <v>77</v>
      </c>
      <c r="D292" s="4">
        <v>45</v>
      </c>
      <c r="E292" s="4" t="s">
        <v>203</v>
      </c>
      <c r="F292" s="3" t="str">
        <f>_xlfn.XLOOKUP(C292,[1]Mapping!A:A,[1]Mapping!B:B," ")</f>
        <v>2D</v>
      </c>
    </row>
    <row r="293" spans="1:6" ht="18" x14ac:dyDescent="0.2">
      <c r="A293" s="2">
        <v>45721</v>
      </c>
      <c r="B293" s="2">
        <v>45721</v>
      </c>
      <c r="C293" s="3" t="s">
        <v>26</v>
      </c>
      <c r="D293" s="4">
        <v>50</v>
      </c>
      <c r="E293" s="4" t="s">
        <v>204</v>
      </c>
      <c r="F293" s="3" t="str">
        <f>_xlfn.XLOOKUP(C293,[1]Mapping!A:A,[1]Mapping!B:B," ")</f>
        <v>RCE</v>
      </c>
    </row>
    <row r="294" spans="1:6" ht="18" x14ac:dyDescent="0.2">
      <c r="A294" s="2">
        <v>45721</v>
      </c>
      <c r="B294" s="2">
        <v>45721</v>
      </c>
      <c r="C294" s="3" t="s">
        <v>28</v>
      </c>
      <c r="D294" s="4">
        <v>45</v>
      </c>
      <c r="E294" s="4" t="s">
        <v>205</v>
      </c>
      <c r="F294" s="3" t="str">
        <f>_xlfn.XLOOKUP(C294,[1]Mapping!A:A,[1]Mapping!B:B," ")</f>
        <v>CV</v>
      </c>
    </row>
    <row r="295" spans="1:6" ht="18" x14ac:dyDescent="0.2">
      <c r="A295" s="2">
        <v>45721</v>
      </c>
      <c r="B295" s="2">
        <v>45721</v>
      </c>
      <c r="C295" s="3" t="s">
        <v>178</v>
      </c>
      <c r="D295" s="4">
        <v>40</v>
      </c>
      <c r="E295" s="4" t="s">
        <v>206</v>
      </c>
      <c r="F295" s="3" t="str">
        <f>_xlfn.XLOOKUP(C295,[1]Mapping!A:A,[1]Mapping!B:B," ")</f>
        <v>3E</v>
      </c>
    </row>
    <row r="296" spans="1:6" ht="18" x14ac:dyDescent="0.2">
      <c r="A296" s="2">
        <v>45723</v>
      </c>
      <c r="B296" s="2">
        <v>45723</v>
      </c>
      <c r="C296" s="3" t="s">
        <v>32</v>
      </c>
      <c r="D296" s="4">
        <v>45</v>
      </c>
      <c r="E296" s="4" t="s">
        <v>207</v>
      </c>
      <c r="F296" s="3" t="str">
        <f>_xlfn.XLOOKUP(C296,[1]Mapping!A:A,[1]Mapping!B:B," ")</f>
        <v>4E</v>
      </c>
    </row>
    <row r="297" spans="1:6" ht="18" x14ac:dyDescent="0.2">
      <c r="A297" s="2">
        <v>45601</v>
      </c>
      <c r="B297" s="2">
        <v>45601</v>
      </c>
      <c r="C297" s="5" t="s">
        <v>18</v>
      </c>
      <c r="D297" s="4">
        <v>45</v>
      </c>
      <c r="E297" s="4" t="s">
        <v>208</v>
      </c>
      <c r="F297" s="3" t="str">
        <f>_xlfn.XLOOKUP(C297,[1]Mapping!A:A,[1]Mapping!B:B," ")</f>
        <v>1D</v>
      </c>
    </row>
    <row r="298" spans="1:6" ht="18" x14ac:dyDescent="0.2">
      <c r="A298" s="2">
        <v>45727</v>
      </c>
      <c r="B298" s="2">
        <v>45727</v>
      </c>
      <c r="C298" s="3" t="s">
        <v>36</v>
      </c>
      <c r="D298" s="4">
        <v>-218.92</v>
      </c>
      <c r="E298" s="4" t="s">
        <v>209</v>
      </c>
      <c r="F298" s="3" t="str">
        <f>_xlfn.XLOOKUP(C298,[1]Mapping!A:A,[1]Mapping!B:B," ")</f>
        <v>Elevadores</v>
      </c>
    </row>
    <row r="299" spans="1:6" ht="18" x14ac:dyDescent="0.2">
      <c r="A299" s="2">
        <v>45729</v>
      </c>
      <c r="B299" s="2">
        <v>45729</v>
      </c>
      <c r="C299" s="3" t="s">
        <v>63</v>
      </c>
      <c r="D299" s="4">
        <v>45</v>
      </c>
      <c r="E299" s="4" t="s">
        <v>210</v>
      </c>
      <c r="F299" s="3" t="str">
        <f>_xlfn.XLOOKUP(C299,[1]Mapping!A:A,[1]Mapping!B:B," ")</f>
        <v>6E</v>
      </c>
    </row>
    <row r="300" spans="1:6" ht="18" x14ac:dyDescent="0.2">
      <c r="A300" s="2">
        <v>45730</v>
      </c>
      <c r="B300" s="2">
        <v>45730</v>
      </c>
      <c r="C300" s="3" t="s">
        <v>37</v>
      </c>
      <c r="D300" s="4">
        <v>-7</v>
      </c>
      <c r="E300" s="4" t="s">
        <v>211</v>
      </c>
      <c r="F300" s="3" t="str">
        <f>_xlfn.XLOOKUP(C300,[1]Mapping!A:A,[1]Mapping!B:B," ")</f>
        <v>Gestao Conta</v>
      </c>
    </row>
    <row r="301" spans="1:6" ht="18" x14ac:dyDescent="0.2">
      <c r="A301" s="2">
        <v>45730</v>
      </c>
      <c r="B301" s="2">
        <v>45730</v>
      </c>
      <c r="C301" s="3" t="s">
        <v>38</v>
      </c>
      <c r="D301" s="4">
        <v>-0.28000000000000003</v>
      </c>
      <c r="E301" s="4" t="s">
        <v>212</v>
      </c>
      <c r="F301" s="3" t="str">
        <f>_xlfn.XLOOKUP(C301,[1]Mapping!A:A,[1]Mapping!B:B," ")</f>
        <v>Gestao Conta</v>
      </c>
    </row>
    <row r="302" spans="1:6" ht="18" x14ac:dyDescent="0.2">
      <c r="A302" s="2">
        <v>45736</v>
      </c>
      <c r="B302" s="2">
        <v>45736</v>
      </c>
      <c r="C302" s="3" t="s">
        <v>14</v>
      </c>
      <c r="D302" s="4">
        <v>45</v>
      </c>
      <c r="E302" s="4" t="s">
        <v>213</v>
      </c>
      <c r="F302" s="3" t="str">
        <f>_xlfn.XLOOKUP(C302,[1]Mapping!A:A,[1]Mapping!B:B," ")</f>
        <v>1E</v>
      </c>
    </row>
    <row r="303" spans="1:6" ht="18" x14ac:dyDescent="0.2">
      <c r="A303" s="2">
        <v>45743</v>
      </c>
      <c r="B303" s="2">
        <v>45743</v>
      </c>
      <c r="C303" s="3" t="s">
        <v>170</v>
      </c>
      <c r="D303" s="4">
        <v>20</v>
      </c>
      <c r="E303" s="4" t="s">
        <v>214</v>
      </c>
      <c r="F303" s="3" t="str">
        <f>_xlfn.XLOOKUP(C303,[1]Mapping!A:A,[1]Mapping!B:B," ")</f>
        <v>RCD</v>
      </c>
    </row>
    <row r="304" spans="1:6" ht="18" x14ac:dyDescent="0.2">
      <c r="A304" s="2">
        <v>45743</v>
      </c>
      <c r="B304" s="2">
        <v>45743</v>
      </c>
      <c r="C304" s="3" t="s">
        <v>215</v>
      </c>
      <c r="D304" s="4">
        <v>-60</v>
      </c>
      <c r="E304" s="4" t="s">
        <v>216</v>
      </c>
      <c r="F304" s="3" t="str">
        <f>_xlfn.XLOOKUP(C304,[1]Mapping!A:A,[1]Mapping!B:B," ")</f>
        <v>Exaustores</v>
      </c>
    </row>
    <row r="305" spans="1:6" ht="18" x14ac:dyDescent="0.2">
      <c r="A305" s="2">
        <v>45744</v>
      </c>
      <c r="B305" s="2">
        <v>45744</v>
      </c>
      <c r="C305" s="3" t="s">
        <v>24</v>
      </c>
      <c r="D305" s="4">
        <v>-139.59</v>
      </c>
      <c r="E305" s="4" t="s">
        <v>217</v>
      </c>
      <c r="F305" s="3" t="str">
        <f>_xlfn.XLOOKUP(C305,[1]Mapping!A:A,[1]Mapping!B:B," ")</f>
        <v>Luz</v>
      </c>
    </row>
    <row r="306" spans="1:6" ht="18" x14ac:dyDescent="0.2">
      <c r="A306" s="2">
        <v>45746</v>
      </c>
      <c r="B306" s="2">
        <v>45746</v>
      </c>
      <c r="C306" s="3" t="s">
        <v>42</v>
      </c>
      <c r="D306" s="4">
        <v>45</v>
      </c>
      <c r="E306" s="4" t="s">
        <v>218</v>
      </c>
      <c r="F306" s="3" t="str">
        <f>_xlfn.XLOOKUP(C306,[1]Mapping!A:A,[1]Mapping!B:B," ")</f>
        <v>5E</v>
      </c>
    </row>
    <row r="307" spans="1:6" ht="18" x14ac:dyDescent="0.2">
      <c r="A307" s="2">
        <v>45748</v>
      </c>
      <c r="B307" s="2">
        <v>45748</v>
      </c>
      <c r="C307" s="3" t="s">
        <v>66</v>
      </c>
      <c r="D307" s="4">
        <v>45</v>
      </c>
      <c r="E307" s="4" t="s">
        <v>219</v>
      </c>
      <c r="F307" s="3" t="str">
        <f>_xlfn.XLOOKUP(C307,[1]Mapping!A:A,[1]Mapping!B:B," ")</f>
        <v>5D</v>
      </c>
    </row>
    <row r="308" spans="1:6" ht="18" x14ac:dyDescent="0.2">
      <c r="A308" s="2">
        <v>45748</v>
      </c>
      <c r="B308" s="2">
        <v>45748</v>
      </c>
      <c r="C308" s="3" t="s">
        <v>46</v>
      </c>
      <c r="D308" s="4">
        <v>45</v>
      </c>
      <c r="E308" s="4" t="s">
        <v>220</v>
      </c>
      <c r="F308" s="3" t="str">
        <f>_xlfn.XLOOKUP(C308,[1]Mapping!A:A,[1]Mapping!B:B," ")</f>
        <v>6D</v>
      </c>
    </row>
    <row r="309" spans="1:6" ht="18" x14ac:dyDescent="0.2">
      <c r="A309" s="2">
        <v>45748</v>
      </c>
      <c r="B309" s="2">
        <v>45748</v>
      </c>
      <c r="C309" s="3" t="s">
        <v>221</v>
      </c>
      <c r="D309" s="4">
        <v>-1</v>
      </c>
      <c r="E309" s="4" t="s">
        <v>222</v>
      </c>
      <c r="F309" s="3" t="str">
        <f>_xlfn.XLOOKUP(C309,[1]Mapping!A:A,[1]Mapping!B:B," ")</f>
        <v>Gestao Conta</v>
      </c>
    </row>
    <row r="310" spans="1:6" ht="18" x14ac:dyDescent="0.2">
      <c r="A310" s="2">
        <v>45748</v>
      </c>
      <c r="B310" s="2">
        <v>45748</v>
      </c>
      <c r="C310" s="3" t="s">
        <v>223</v>
      </c>
      <c r="D310" s="4">
        <v>-0.04</v>
      </c>
      <c r="E310" s="4" t="s">
        <v>224</v>
      </c>
      <c r="F310" s="3" t="str">
        <f>_xlfn.XLOOKUP(C310,[1]Mapping!A:A,[1]Mapping!B:B," ")</f>
        <v>Gestao Conta</v>
      </c>
    </row>
    <row r="311" spans="1:6" ht="18" x14ac:dyDescent="0.2">
      <c r="A311" s="2">
        <v>45748</v>
      </c>
      <c r="B311" s="2">
        <v>45748</v>
      </c>
      <c r="C311" s="3" t="s">
        <v>10</v>
      </c>
      <c r="D311" s="4">
        <v>-60</v>
      </c>
      <c r="E311" s="4" t="s">
        <v>225</v>
      </c>
      <c r="F311" s="3" t="str">
        <f>_xlfn.XLOOKUP(C311,[1]Mapping!A:A,[1]Mapping!B:B," ")</f>
        <v>Conta Poupança</v>
      </c>
    </row>
    <row r="312" spans="1:6" ht="18" x14ac:dyDescent="0.2">
      <c r="A312" s="2">
        <v>45568</v>
      </c>
      <c r="B312" s="2">
        <v>45568</v>
      </c>
      <c r="C312" s="3" t="s">
        <v>18</v>
      </c>
      <c r="D312" s="4">
        <v>45</v>
      </c>
      <c r="E312" s="4">
        <v>994.76</v>
      </c>
      <c r="F312" s="3" t="str">
        <f>_xlfn.XLOOKUP(C312,[1]Mapping!A:A,[1]Mapping!B:B," ")</f>
        <v>1D</v>
      </c>
    </row>
    <row r="313" spans="1:6" ht="18" x14ac:dyDescent="0.2">
      <c r="A313" s="2">
        <v>45750</v>
      </c>
      <c r="B313" s="2">
        <v>45750</v>
      </c>
      <c r="C313" s="3" t="s">
        <v>12</v>
      </c>
      <c r="D313" s="4">
        <v>45</v>
      </c>
      <c r="E313" s="4" t="s">
        <v>226</v>
      </c>
      <c r="F313" s="3" t="str">
        <f>_xlfn.XLOOKUP(C313,[1]Mapping!A:A,[1]Mapping!B:B," ")</f>
        <v>3D</v>
      </c>
    </row>
    <row r="314" spans="1:6" ht="18" x14ac:dyDescent="0.2">
      <c r="A314" s="2">
        <v>45750</v>
      </c>
      <c r="B314" s="2">
        <v>45750</v>
      </c>
      <c r="C314" s="3" t="s">
        <v>160</v>
      </c>
      <c r="D314" s="4">
        <v>45</v>
      </c>
      <c r="E314" s="4" t="s">
        <v>227</v>
      </c>
      <c r="F314" s="3" t="str">
        <f>_xlfn.XLOOKUP(C314,[1]Mapping!A:A,[1]Mapping!B:B," ")</f>
        <v>4D</v>
      </c>
    </row>
    <row r="315" spans="1:6" ht="18" x14ac:dyDescent="0.2">
      <c r="A315" s="2">
        <v>45751</v>
      </c>
      <c r="B315" s="2">
        <v>45751</v>
      </c>
      <c r="C315" s="3" t="s">
        <v>14</v>
      </c>
      <c r="D315" s="4">
        <v>45</v>
      </c>
      <c r="E315" s="4" t="s">
        <v>228</v>
      </c>
      <c r="F315" s="3" t="str">
        <f>_xlfn.XLOOKUP(C315,[1]Mapping!A:A,[1]Mapping!B:B," ")</f>
        <v>1E</v>
      </c>
    </row>
    <row r="316" spans="1:6" ht="18" x14ac:dyDescent="0.2">
      <c r="A316" s="2">
        <v>45752</v>
      </c>
      <c r="B316" s="2">
        <v>45752</v>
      </c>
      <c r="C316" s="3" t="s">
        <v>26</v>
      </c>
      <c r="D316" s="4">
        <v>50</v>
      </c>
      <c r="E316" s="4" t="s">
        <v>229</v>
      </c>
      <c r="F316" s="3" t="str">
        <f>_xlfn.XLOOKUP(C316,[1]Mapping!A:A,[1]Mapping!B:B," ")</f>
        <v>RCE</v>
      </c>
    </row>
    <row r="317" spans="1:6" ht="18" x14ac:dyDescent="0.2">
      <c r="A317" s="2">
        <v>45752</v>
      </c>
      <c r="B317" s="2">
        <v>45752</v>
      </c>
      <c r="C317" s="3" t="s">
        <v>28</v>
      </c>
      <c r="D317" s="4">
        <v>45</v>
      </c>
      <c r="E317" s="4" t="s">
        <v>230</v>
      </c>
      <c r="F317" s="3" t="str">
        <f>_xlfn.XLOOKUP(C317,[1]Mapping!A:A,[1]Mapping!B:B," ")</f>
        <v>CV</v>
      </c>
    </row>
    <row r="318" spans="1:6" ht="18" x14ac:dyDescent="0.2">
      <c r="A318" s="2">
        <v>45754</v>
      </c>
      <c r="B318" s="2">
        <v>45754</v>
      </c>
      <c r="C318" s="3" t="s">
        <v>77</v>
      </c>
      <c r="D318" s="4">
        <v>45</v>
      </c>
      <c r="E318" s="4" t="s">
        <v>231</v>
      </c>
      <c r="F318" s="3" t="str">
        <f>_xlfn.XLOOKUP(C318,[1]Mapping!A:A,[1]Mapping!B:B," ")</f>
        <v>2D</v>
      </c>
    </row>
    <row r="319" spans="1:6" ht="18" x14ac:dyDescent="0.2">
      <c r="A319" s="2">
        <v>45754</v>
      </c>
      <c r="B319" s="2">
        <v>45754</v>
      </c>
      <c r="C319" s="3" t="s">
        <v>232</v>
      </c>
      <c r="D319" s="4">
        <v>180</v>
      </c>
      <c r="E319" s="4" t="s">
        <v>233</v>
      </c>
      <c r="F319" s="3" t="str">
        <f>_xlfn.XLOOKUP(C319,[1]Mapping!A:A,[1]Mapping!B:B," ")</f>
        <v>2E</v>
      </c>
    </row>
    <row r="320" spans="1:6" ht="18" x14ac:dyDescent="0.2">
      <c r="A320" s="2">
        <v>45758</v>
      </c>
      <c r="B320" s="2">
        <v>45758</v>
      </c>
      <c r="C320" s="3" t="s">
        <v>36</v>
      </c>
      <c r="D320" s="4">
        <v>-218.92</v>
      </c>
      <c r="E320" s="4" t="s">
        <v>234</v>
      </c>
      <c r="F320" s="3" t="str">
        <f>_xlfn.XLOOKUP(C320,[1]Mapping!A:A,[1]Mapping!B:B," ")</f>
        <v>Elevadores</v>
      </c>
    </row>
    <row r="321" spans="1:6" ht="18" x14ac:dyDescent="0.2">
      <c r="A321" s="2">
        <v>45761</v>
      </c>
      <c r="B321" s="2">
        <v>45761</v>
      </c>
      <c r="C321" s="3" t="s">
        <v>39</v>
      </c>
      <c r="D321" s="4">
        <v>45</v>
      </c>
      <c r="E321" s="4" t="s">
        <v>235</v>
      </c>
      <c r="F321" s="3" t="str">
        <f>_xlfn.XLOOKUP(C321,[1]Mapping!A:A,[1]Mapping!B:B," ")</f>
        <v>6E</v>
      </c>
    </row>
    <row r="322" spans="1:6" ht="18" x14ac:dyDescent="0.2">
      <c r="A322" s="2">
        <v>45761</v>
      </c>
      <c r="B322" s="2">
        <v>45761</v>
      </c>
      <c r="C322" s="3" t="s">
        <v>37</v>
      </c>
      <c r="D322" s="4">
        <v>-7</v>
      </c>
      <c r="E322" s="4" t="s">
        <v>236</v>
      </c>
      <c r="F322" s="3" t="str">
        <f>_xlfn.XLOOKUP(C322,[1]Mapping!A:A,[1]Mapping!B:B," ")</f>
        <v>Gestao Conta</v>
      </c>
    </row>
    <row r="323" spans="1:6" ht="18" x14ac:dyDescent="0.2">
      <c r="A323" s="2">
        <v>45761</v>
      </c>
      <c r="B323" s="2">
        <v>45761</v>
      </c>
      <c r="C323" s="3" t="s">
        <v>38</v>
      </c>
      <c r="D323" s="4">
        <v>-0.28000000000000003</v>
      </c>
      <c r="E323" s="4" t="s">
        <v>237</v>
      </c>
      <c r="F323" s="3" t="str">
        <f>_xlfn.XLOOKUP(C323,[1]Mapping!A:A,[1]Mapping!B:B," ")</f>
        <v>Gestao Conta</v>
      </c>
    </row>
    <row r="324" spans="1:6" ht="18" x14ac:dyDescent="0.2">
      <c r="A324" s="2">
        <v>45763</v>
      </c>
      <c r="B324" s="2">
        <v>45763</v>
      </c>
      <c r="C324" s="3" t="s">
        <v>32</v>
      </c>
      <c r="D324" s="4">
        <v>45</v>
      </c>
      <c r="E324" s="4" t="s">
        <v>238</v>
      </c>
      <c r="F324" s="3" t="str">
        <f>_xlfn.XLOOKUP(C324,[1]Mapping!A:A,[1]Mapping!B:B," ")</f>
        <v>4E</v>
      </c>
    </row>
    <row r="325" spans="1:6" ht="18" x14ac:dyDescent="0.2">
      <c r="A325" s="2">
        <v>45775</v>
      </c>
      <c r="B325" s="2">
        <v>45775</v>
      </c>
      <c r="C325" s="3" t="s">
        <v>170</v>
      </c>
      <c r="D325" s="4">
        <v>20</v>
      </c>
      <c r="E325" s="4" t="s">
        <v>239</v>
      </c>
      <c r="F325" s="3" t="str">
        <f>_xlfn.XLOOKUP(C325,[1]Mapping!A:A,[1]Mapping!B:B," ")</f>
        <v>RCD</v>
      </c>
    </row>
    <row r="326" spans="1:6" ht="18" x14ac:dyDescent="0.2">
      <c r="A326" s="2">
        <v>45777</v>
      </c>
      <c r="B326" s="2">
        <v>45777</v>
      </c>
      <c r="C326" s="3" t="s">
        <v>42</v>
      </c>
      <c r="D326" s="4">
        <v>45</v>
      </c>
      <c r="E326" s="4" t="s">
        <v>240</v>
      </c>
      <c r="F326" s="3" t="str">
        <f>_xlfn.XLOOKUP(C326,[1]Mapping!A:A,[1]Mapping!B:B," ")</f>
        <v>5E</v>
      </c>
    </row>
    <row r="327" spans="1:6" ht="18" x14ac:dyDescent="0.2">
      <c r="A327" s="2">
        <v>45778</v>
      </c>
      <c r="B327" s="2">
        <v>45778</v>
      </c>
      <c r="C327" s="3" t="s">
        <v>66</v>
      </c>
      <c r="D327" s="4">
        <v>45</v>
      </c>
      <c r="E327" s="4" t="s">
        <v>241</v>
      </c>
      <c r="F327" s="3" t="str">
        <f>_xlfn.XLOOKUP(C327,[1]Mapping!A:A,[1]Mapping!B:B," ")</f>
        <v>5D</v>
      </c>
    </row>
    <row r="328" spans="1:6" ht="18" x14ac:dyDescent="0.2">
      <c r="A328" s="2">
        <v>45778</v>
      </c>
      <c r="B328" s="2">
        <v>45778</v>
      </c>
      <c r="C328" s="3" t="s">
        <v>242</v>
      </c>
      <c r="D328" s="4">
        <v>-1</v>
      </c>
      <c r="E328" s="4" t="s">
        <v>243</v>
      </c>
      <c r="F328" s="3" t="str">
        <f>_xlfn.XLOOKUP(C328,[1]Mapping!A:A,[1]Mapping!B:B," ")</f>
        <v>Gestao Conta</v>
      </c>
    </row>
    <row r="329" spans="1:6" ht="18" x14ac:dyDescent="0.2">
      <c r="A329" s="2">
        <v>45778</v>
      </c>
      <c r="B329" s="2">
        <v>45778</v>
      </c>
      <c r="C329" s="3" t="s">
        <v>244</v>
      </c>
      <c r="D329" s="4">
        <v>-0.04</v>
      </c>
      <c r="E329" s="4" t="s">
        <v>245</v>
      </c>
      <c r="F329" s="3" t="str">
        <f>_xlfn.XLOOKUP(C329,[1]Mapping!A:A,[1]Mapping!B:B," ")</f>
        <v>Gestao Conta</v>
      </c>
    </row>
    <row r="330" spans="1:6" ht="18" x14ac:dyDescent="0.2">
      <c r="A330" s="2">
        <v>45778</v>
      </c>
      <c r="B330" s="2">
        <v>45778</v>
      </c>
      <c r="C330" s="3" t="s">
        <v>10</v>
      </c>
      <c r="D330" s="4">
        <v>-60</v>
      </c>
      <c r="E330" s="4" t="s">
        <v>246</v>
      </c>
      <c r="F330" s="3" t="str">
        <f>_xlfn.XLOOKUP(C330,[1]Mapping!A:A,[1]Mapping!B:B," ")</f>
        <v>Conta Poupança</v>
      </c>
    </row>
    <row r="331" spans="1:6" ht="18" x14ac:dyDescent="0.2">
      <c r="A331" s="2">
        <v>45779</v>
      </c>
      <c r="B331" s="2">
        <v>45779</v>
      </c>
      <c r="C331" s="3" t="s">
        <v>24</v>
      </c>
      <c r="D331" s="4">
        <v>-156.63999999999999</v>
      </c>
      <c r="E331" s="4" t="s">
        <v>247</v>
      </c>
      <c r="F331" s="3" t="str">
        <f>_xlfn.XLOOKUP(C331,[1]Mapping!A:A,[1]Mapping!B:B," ")</f>
        <v>Luz</v>
      </c>
    </row>
    <row r="332" spans="1:6" ht="18" x14ac:dyDescent="0.2">
      <c r="A332" s="2">
        <v>45538</v>
      </c>
      <c r="B332" s="2">
        <v>45538</v>
      </c>
      <c r="C332" s="3" t="s">
        <v>18</v>
      </c>
      <c r="D332" s="4">
        <v>45</v>
      </c>
      <c r="E332" s="4">
        <v>894.14</v>
      </c>
      <c r="F332" s="3" t="str">
        <f>_xlfn.XLOOKUP(C332,[1]Mapping!A:A,[1]Mapping!B:B," ")</f>
        <v>1D</v>
      </c>
    </row>
    <row r="333" spans="1:6" ht="18" x14ac:dyDescent="0.2">
      <c r="A333" s="2">
        <v>45782</v>
      </c>
      <c r="B333" s="2">
        <v>45782</v>
      </c>
      <c r="C333" s="3" t="s">
        <v>12</v>
      </c>
      <c r="D333" s="4">
        <v>45</v>
      </c>
      <c r="E333" s="4" t="s">
        <v>248</v>
      </c>
      <c r="F333" s="3" t="str">
        <f>_xlfn.XLOOKUP(C333,[1]Mapping!A:A,[1]Mapping!B:B," ")</f>
        <v>3D</v>
      </c>
    </row>
    <row r="334" spans="1:6" ht="18" x14ac:dyDescent="0.2">
      <c r="A334" s="2">
        <v>45782</v>
      </c>
      <c r="B334" s="2">
        <v>45782</v>
      </c>
      <c r="C334" s="3" t="s">
        <v>26</v>
      </c>
      <c r="D334" s="4">
        <v>50</v>
      </c>
      <c r="E334" s="4" t="s">
        <v>249</v>
      </c>
      <c r="F334" s="3" t="str">
        <f>_xlfn.XLOOKUP(C334,[1]Mapping!A:A,[1]Mapping!B:B," ")</f>
        <v>RCE</v>
      </c>
    </row>
    <row r="335" spans="1:6" ht="18" x14ac:dyDescent="0.2">
      <c r="A335" s="2">
        <v>45782</v>
      </c>
      <c r="B335" s="2">
        <v>45782</v>
      </c>
      <c r="C335" s="3" t="s">
        <v>28</v>
      </c>
      <c r="D335" s="4">
        <v>45</v>
      </c>
      <c r="E335" s="4" t="s">
        <v>250</v>
      </c>
      <c r="F335" s="3" t="str">
        <f>_xlfn.XLOOKUP(C335,[1]Mapping!A:A,[1]Mapping!B:B," ")</f>
        <v>CV</v>
      </c>
    </row>
    <row r="336" spans="1:6" ht="18" x14ac:dyDescent="0.2">
      <c r="A336" s="2">
        <v>45783</v>
      </c>
      <c r="B336" s="2">
        <v>45783</v>
      </c>
      <c r="C336" s="3" t="s">
        <v>77</v>
      </c>
      <c r="D336" s="4">
        <v>45</v>
      </c>
      <c r="E336" s="4" t="s">
        <v>251</v>
      </c>
      <c r="F336" s="3" t="str">
        <f>_xlfn.XLOOKUP(C336,[1]Mapping!A:A,[1]Mapping!B:B," ")</f>
        <v>2D</v>
      </c>
    </row>
    <row r="337" spans="1:6" ht="18" x14ac:dyDescent="0.2">
      <c r="A337" s="2">
        <v>45783</v>
      </c>
      <c r="B337" s="2">
        <v>45783</v>
      </c>
      <c r="C337" s="3" t="s">
        <v>14</v>
      </c>
      <c r="D337" s="4">
        <v>45</v>
      </c>
      <c r="E337" s="4" t="s">
        <v>252</v>
      </c>
      <c r="F337" s="3" t="str">
        <f>_xlfn.XLOOKUP(C337,[1]Mapping!A:A,[1]Mapping!B:B," ")</f>
        <v>1E</v>
      </c>
    </row>
    <row r="338" spans="1:6" ht="18" x14ac:dyDescent="0.2">
      <c r="A338" s="2">
        <v>45783</v>
      </c>
      <c r="B338" s="2">
        <v>45783</v>
      </c>
      <c r="C338" s="3" t="s">
        <v>160</v>
      </c>
      <c r="D338" s="4">
        <v>45</v>
      </c>
      <c r="E338" s="4" t="s">
        <v>253</v>
      </c>
      <c r="F338" s="3" t="str">
        <f>_xlfn.XLOOKUP(C338,[1]Mapping!A:A,[1]Mapping!B:B," ")</f>
        <v>4D</v>
      </c>
    </row>
    <row r="339" spans="1:6" ht="18" x14ac:dyDescent="0.2">
      <c r="A339" s="2">
        <v>45786</v>
      </c>
      <c r="B339" s="2">
        <v>45786</v>
      </c>
      <c r="C339" s="3" t="s">
        <v>63</v>
      </c>
      <c r="D339" s="4">
        <v>45</v>
      </c>
      <c r="E339" s="4" t="s">
        <v>254</v>
      </c>
      <c r="F339" s="3" t="str">
        <f>_xlfn.XLOOKUP(C339,[1]Mapping!A:A,[1]Mapping!B:B," ")</f>
        <v>6E</v>
      </c>
    </row>
    <row r="340" spans="1:6" ht="18" x14ac:dyDescent="0.2">
      <c r="A340" s="2">
        <v>45789</v>
      </c>
      <c r="B340" s="2">
        <v>45789</v>
      </c>
      <c r="C340" s="3" t="s">
        <v>32</v>
      </c>
      <c r="D340" s="4">
        <v>45</v>
      </c>
      <c r="E340" s="4" t="s">
        <v>255</v>
      </c>
      <c r="F340" s="3" t="str">
        <f>_xlfn.XLOOKUP(C340,[1]Mapping!A:A,[1]Mapping!B:B," ")</f>
        <v>4E</v>
      </c>
    </row>
    <row r="341" spans="1:6" ht="18" x14ac:dyDescent="0.2">
      <c r="A341" s="2">
        <v>45790</v>
      </c>
      <c r="B341" s="2">
        <v>45790</v>
      </c>
      <c r="C341" s="3" t="s">
        <v>36</v>
      </c>
      <c r="D341" s="4">
        <v>-218.92</v>
      </c>
      <c r="E341" s="4" t="s">
        <v>256</v>
      </c>
      <c r="F341" s="3" t="str">
        <f>_xlfn.XLOOKUP(C341,[1]Mapping!A:A,[1]Mapping!B:B," ")</f>
        <v>Elevadores</v>
      </c>
    </row>
    <row r="342" spans="1:6" ht="18" x14ac:dyDescent="0.2">
      <c r="A342" s="2">
        <v>45791</v>
      </c>
      <c r="B342" s="2">
        <v>45791</v>
      </c>
      <c r="C342" s="3" t="s">
        <v>37</v>
      </c>
      <c r="D342" s="4">
        <v>-7</v>
      </c>
      <c r="E342" s="4" t="s">
        <v>257</v>
      </c>
      <c r="F342" s="3" t="str">
        <f>_xlfn.XLOOKUP(C342,[1]Mapping!A:A,[1]Mapping!B:B," ")</f>
        <v>Gestao Conta</v>
      </c>
    </row>
    <row r="343" spans="1:6" ht="18" x14ac:dyDescent="0.2">
      <c r="A343" s="2">
        <v>45791</v>
      </c>
      <c r="B343" s="2">
        <v>45791</v>
      </c>
      <c r="C343" s="3" t="s">
        <v>38</v>
      </c>
      <c r="D343" s="4">
        <v>-0.28000000000000003</v>
      </c>
      <c r="E343" s="4" t="s">
        <v>258</v>
      </c>
      <c r="F343" s="3" t="str">
        <f>_xlfn.XLOOKUP(C343,[1]Mapping!A:A,[1]Mapping!B:B," ")</f>
        <v>Gestao Conta</v>
      </c>
    </row>
    <row r="344" spans="1:6" ht="18" x14ac:dyDescent="0.2">
      <c r="A344" s="2">
        <v>45805</v>
      </c>
      <c r="B344" s="2">
        <v>45805</v>
      </c>
      <c r="C344" s="3" t="s">
        <v>170</v>
      </c>
      <c r="D344" s="4">
        <v>20</v>
      </c>
      <c r="E344" s="4" t="s">
        <v>259</v>
      </c>
      <c r="F344" s="3" t="str">
        <f>_xlfn.XLOOKUP(C344,[1]Mapping!A:A,[1]Mapping!B:B," ")</f>
        <v>RCD</v>
      </c>
    </row>
    <row r="345" spans="1:6" ht="18" x14ac:dyDescent="0.2">
      <c r="A345" s="2">
        <v>45806</v>
      </c>
      <c r="B345" s="2">
        <v>45806</v>
      </c>
      <c r="C345" s="3" t="s">
        <v>24</v>
      </c>
      <c r="D345" s="4">
        <v>-149.12</v>
      </c>
      <c r="E345" s="4" t="s">
        <v>260</v>
      </c>
      <c r="F345" s="3" t="str">
        <f>_xlfn.XLOOKUP(C345,[1]Mapping!A:A,[1]Mapping!B:B," ")</f>
        <v>Luz</v>
      </c>
    </row>
    <row r="346" spans="1:6" ht="18" x14ac:dyDescent="0.2">
      <c r="A346" s="2">
        <v>45807</v>
      </c>
      <c r="B346" s="2">
        <v>45807</v>
      </c>
      <c r="C346" s="3" t="s">
        <v>42</v>
      </c>
      <c r="D346" s="4">
        <v>45</v>
      </c>
      <c r="E346" s="4" t="s">
        <v>261</v>
      </c>
      <c r="F346" s="3" t="str">
        <f>_xlfn.XLOOKUP(C346,[1]Mapping!A:A,[1]Mapping!B:B," ")</f>
        <v>5E</v>
      </c>
    </row>
    <row r="347" spans="1:6" ht="18" x14ac:dyDescent="0.2">
      <c r="A347" s="2">
        <v>45809</v>
      </c>
      <c r="B347" s="2">
        <v>45809</v>
      </c>
      <c r="C347" s="3" t="s">
        <v>66</v>
      </c>
      <c r="D347" s="4">
        <v>45</v>
      </c>
      <c r="E347" s="4" t="s">
        <v>262</v>
      </c>
      <c r="F347" s="3" t="str">
        <f>_xlfn.XLOOKUP(C347,[1]Mapping!A:A,[1]Mapping!B:B," ")</f>
        <v>5D</v>
      </c>
    </row>
    <row r="348" spans="1:6" ht="18" x14ac:dyDescent="0.2">
      <c r="A348" s="2">
        <v>45809</v>
      </c>
      <c r="B348" s="2">
        <v>45809</v>
      </c>
      <c r="C348" s="3" t="s">
        <v>168</v>
      </c>
      <c r="D348" s="4">
        <v>45</v>
      </c>
      <c r="E348" s="4" t="s">
        <v>263</v>
      </c>
      <c r="F348" s="3" t="str">
        <f>_xlfn.XLOOKUP(C348,[1]Mapping!A:A,[1]Mapping!B:B," ")</f>
        <v>6E</v>
      </c>
    </row>
    <row r="349" spans="1:6" ht="18" x14ac:dyDescent="0.2">
      <c r="A349" s="2">
        <v>45809</v>
      </c>
      <c r="B349" s="2">
        <v>45809</v>
      </c>
      <c r="C349" s="3" t="s">
        <v>264</v>
      </c>
      <c r="D349" s="4">
        <v>-1</v>
      </c>
      <c r="E349" s="4" t="s">
        <v>265</v>
      </c>
      <c r="F349" s="3" t="str">
        <f>_xlfn.XLOOKUP(C349,[1]Mapping!A:A,[1]Mapping!B:B," ")</f>
        <v>Gestao Conta</v>
      </c>
    </row>
    <row r="350" spans="1:6" ht="18" x14ac:dyDescent="0.2">
      <c r="A350" s="2">
        <v>45809</v>
      </c>
      <c r="B350" s="2">
        <v>45809</v>
      </c>
      <c r="C350" s="3" t="s">
        <v>266</v>
      </c>
      <c r="D350" s="4">
        <v>-0.04</v>
      </c>
      <c r="E350" s="4" t="s">
        <v>267</v>
      </c>
      <c r="F350" s="3" t="str">
        <f>_xlfn.XLOOKUP(C350,[1]Mapping!A:A,[1]Mapping!B:B," ")</f>
        <v>Gestao Conta</v>
      </c>
    </row>
    <row r="351" spans="1:6" ht="18" x14ac:dyDescent="0.2">
      <c r="A351" s="2">
        <v>45809</v>
      </c>
      <c r="B351" s="2">
        <v>45809</v>
      </c>
      <c r="C351" s="3" t="s">
        <v>10</v>
      </c>
      <c r="D351" s="4">
        <v>-60</v>
      </c>
      <c r="E351" s="4" t="s">
        <v>268</v>
      </c>
      <c r="F351" s="3" t="str">
        <f>_xlfn.XLOOKUP(C351,[1]Mapping!A:A,[1]Mapping!B:B," ")</f>
        <v>Conta Poupança</v>
      </c>
    </row>
    <row r="352" spans="1:6" ht="18" x14ac:dyDescent="0.2">
      <c r="A352" s="2">
        <v>45810</v>
      </c>
      <c r="B352" s="2">
        <v>45810</v>
      </c>
      <c r="C352" s="3" t="s">
        <v>178</v>
      </c>
      <c r="D352" s="4">
        <v>120</v>
      </c>
      <c r="E352" s="4" t="s">
        <v>269</v>
      </c>
      <c r="F352" s="3" t="str">
        <f>_xlfn.XLOOKUP(C352,[1]Mapping!A:A,[1]Mapping!B:B," ")</f>
        <v>3E</v>
      </c>
    </row>
    <row r="353" spans="1:6" ht="18" x14ac:dyDescent="0.2">
      <c r="A353" s="2">
        <v>45506</v>
      </c>
      <c r="B353" s="2">
        <v>45506</v>
      </c>
      <c r="C353" s="3" t="s">
        <v>18</v>
      </c>
      <c r="D353" s="4">
        <v>45</v>
      </c>
      <c r="E353" s="4">
        <v>944.15</v>
      </c>
      <c r="F353" s="3" t="str">
        <f>_xlfn.XLOOKUP(C353,[1]Mapping!A:A,[1]Mapping!B:B," ")</f>
        <v>1D</v>
      </c>
    </row>
    <row r="354" spans="1:6" ht="18" x14ac:dyDescent="0.2">
      <c r="A354" s="2">
        <v>45811</v>
      </c>
      <c r="B354" s="2">
        <v>45811</v>
      </c>
      <c r="C354" s="3" t="s">
        <v>12</v>
      </c>
      <c r="D354" s="4">
        <v>45</v>
      </c>
      <c r="E354" s="4" t="s">
        <v>270</v>
      </c>
      <c r="F354" s="3" t="str">
        <f>_xlfn.XLOOKUP(C354,[1]Mapping!A:A,[1]Mapping!B:B," ")</f>
        <v>3D</v>
      </c>
    </row>
    <row r="355" spans="1:6" ht="18" x14ac:dyDescent="0.2">
      <c r="A355" s="2">
        <v>45812</v>
      </c>
      <c r="B355" s="2">
        <v>45812</v>
      </c>
      <c r="C355" s="3" t="s">
        <v>14</v>
      </c>
      <c r="D355" s="4">
        <v>45</v>
      </c>
      <c r="E355" s="4" t="s">
        <v>271</v>
      </c>
      <c r="F355" s="3" t="str">
        <f>_xlfn.XLOOKUP(C355,[1]Mapping!A:A,[1]Mapping!B:B," ")</f>
        <v>1E</v>
      </c>
    </row>
    <row r="356" spans="1:6" ht="18" x14ac:dyDescent="0.2">
      <c r="A356" s="2">
        <v>45812</v>
      </c>
      <c r="B356" s="2">
        <v>45812</v>
      </c>
      <c r="C356" s="3" t="s">
        <v>160</v>
      </c>
      <c r="D356" s="4">
        <v>45</v>
      </c>
      <c r="E356" s="4" t="s">
        <v>272</v>
      </c>
      <c r="F356" s="3" t="str">
        <f>_xlfn.XLOOKUP(C356,[1]Mapping!A:A,[1]Mapping!B:B," ")</f>
        <v>4D</v>
      </c>
    </row>
    <row r="357" spans="1:6" ht="18" x14ac:dyDescent="0.2">
      <c r="A357" s="2">
        <v>45813</v>
      </c>
      <c r="B357" s="2">
        <v>45813</v>
      </c>
      <c r="C357" s="3" t="s">
        <v>26</v>
      </c>
      <c r="D357" s="4">
        <v>50</v>
      </c>
      <c r="E357" s="4" t="s">
        <v>273</v>
      </c>
      <c r="F357" s="3" t="str">
        <f>_xlfn.XLOOKUP(C357,[1]Mapping!A:A,[1]Mapping!B:B," ")</f>
        <v>RCE</v>
      </c>
    </row>
    <row r="358" spans="1:6" ht="18" x14ac:dyDescent="0.2">
      <c r="A358" s="2">
        <v>45813</v>
      </c>
      <c r="B358" s="2">
        <v>45813</v>
      </c>
      <c r="C358" s="3" t="s">
        <v>28</v>
      </c>
      <c r="D358" s="4">
        <v>45</v>
      </c>
      <c r="E358" s="4" t="s">
        <v>274</v>
      </c>
      <c r="F358" s="3" t="str">
        <f>_xlfn.XLOOKUP(C358,[1]Mapping!A:A,[1]Mapping!B:B," ")</f>
        <v>CV</v>
      </c>
    </row>
    <row r="359" spans="1:6" ht="18" x14ac:dyDescent="0.2">
      <c r="A359" s="2">
        <v>45813</v>
      </c>
      <c r="B359" s="2">
        <v>45813</v>
      </c>
      <c r="C359" s="3" t="s">
        <v>77</v>
      </c>
      <c r="D359" s="4">
        <v>45</v>
      </c>
      <c r="E359" s="4" t="s">
        <v>275</v>
      </c>
      <c r="F359" s="3" t="str">
        <f>_xlfn.XLOOKUP(C359,[1]Mapping!A:A,[1]Mapping!B:B," ")</f>
        <v>2D</v>
      </c>
    </row>
    <row r="360" spans="1:6" ht="18" x14ac:dyDescent="0.2">
      <c r="A360" s="2">
        <v>45819</v>
      </c>
      <c r="B360" s="2">
        <v>45819</v>
      </c>
      <c r="C360" s="3" t="s">
        <v>32</v>
      </c>
      <c r="D360" s="4">
        <v>45</v>
      </c>
      <c r="E360" s="4" t="s">
        <v>276</v>
      </c>
      <c r="F360" s="3" t="str">
        <f>_xlfn.XLOOKUP(C360,[1]Mapping!A:A,[1]Mapping!B:B," ")</f>
        <v>4E</v>
      </c>
    </row>
    <row r="361" spans="1:6" ht="18" x14ac:dyDescent="0.2">
      <c r="A361" s="2">
        <v>45820</v>
      </c>
      <c r="B361" s="2">
        <v>45820</v>
      </c>
      <c r="C361" s="3" t="s">
        <v>277</v>
      </c>
      <c r="D361" s="4">
        <v>-218.92</v>
      </c>
      <c r="E361" s="4" t="s">
        <v>278</v>
      </c>
      <c r="F361" s="3" t="str">
        <f>_xlfn.XLOOKUP(C361,[1]Mapping!A:A,[1]Mapping!B:B," ")</f>
        <v>Elevadores</v>
      </c>
    </row>
    <row r="362" spans="1:6" ht="18" x14ac:dyDescent="0.2">
      <c r="A362" s="2">
        <v>45822</v>
      </c>
      <c r="B362" s="2">
        <v>45822</v>
      </c>
      <c r="C362" s="3" t="s">
        <v>37</v>
      </c>
      <c r="D362" s="4">
        <v>-7</v>
      </c>
      <c r="E362" s="4" t="s">
        <v>279</v>
      </c>
      <c r="F362" s="3" t="str">
        <f>_xlfn.XLOOKUP(C362,[1]Mapping!A:A,[1]Mapping!B:B," ")</f>
        <v>Gestao Conta</v>
      </c>
    </row>
    <row r="363" spans="1:6" ht="18" x14ac:dyDescent="0.2">
      <c r="A363" s="2">
        <v>45822</v>
      </c>
      <c r="B363" s="2">
        <v>45822</v>
      </c>
      <c r="C363" s="3" t="s">
        <v>38</v>
      </c>
      <c r="D363" s="4">
        <v>-0.28000000000000003</v>
      </c>
      <c r="E363" s="4" t="s">
        <v>280</v>
      </c>
      <c r="F363" s="3" t="str">
        <f>_xlfn.XLOOKUP(C363,[1]Mapping!A:A,[1]Mapping!B:B," ")</f>
        <v>Gestao Conta</v>
      </c>
    </row>
    <row r="364" spans="1:6" ht="18" x14ac:dyDescent="0.2">
      <c r="A364" s="2">
        <v>45834</v>
      </c>
      <c r="B364" s="2">
        <v>45834</v>
      </c>
      <c r="C364" s="3" t="s">
        <v>170</v>
      </c>
      <c r="D364" s="4">
        <v>20</v>
      </c>
      <c r="E364" s="4" t="s">
        <v>281</v>
      </c>
      <c r="F364" s="3" t="str">
        <f>_xlfn.XLOOKUP(C364,[1]Mapping!A:A,[1]Mapping!B:B," ")</f>
        <v>RCD</v>
      </c>
    </row>
    <row r="365" spans="1:6" ht="18" x14ac:dyDescent="0.2">
      <c r="A365" s="2">
        <v>45838</v>
      </c>
      <c r="B365" s="2">
        <v>45838</v>
      </c>
      <c r="C365" s="3" t="s">
        <v>42</v>
      </c>
      <c r="D365" s="4">
        <v>45</v>
      </c>
      <c r="E365" s="4" t="s">
        <v>282</v>
      </c>
      <c r="F365" s="3" t="str">
        <f>_xlfn.XLOOKUP(C365,[1]Mapping!A:A,[1]Mapping!B:B," ")</f>
        <v>5E</v>
      </c>
    </row>
    <row r="366" spans="1:6" ht="18" x14ac:dyDescent="0.2">
      <c r="A366" s="2">
        <v>45839</v>
      </c>
      <c r="B366" s="2">
        <v>45839</v>
      </c>
      <c r="C366" s="3" t="s">
        <v>66</v>
      </c>
      <c r="D366" s="4">
        <v>45</v>
      </c>
      <c r="E366" s="4" t="s">
        <v>283</v>
      </c>
      <c r="F366" s="3" t="str">
        <f>_xlfn.XLOOKUP(C366,[1]Mapping!A:A,[1]Mapping!B:B," ")</f>
        <v>5D</v>
      </c>
    </row>
    <row r="367" spans="1:6" ht="18" x14ac:dyDescent="0.2">
      <c r="A367" s="2">
        <v>45839</v>
      </c>
      <c r="B367" s="2">
        <v>45839</v>
      </c>
      <c r="C367" s="3" t="s">
        <v>284</v>
      </c>
      <c r="D367" s="4">
        <v>-156.63999999999999</v>
      </c>
      <c r="E367" s="4" t="s">
        <v>285</v>
      </c>
      <c r="F367" s="3" t="str">
        <f>_xlfn.XLOOKUP(C367,[1]Mapping!A:A,[1]Mapping!B:B," ")</f>
        <v>Luz</v>
      </c>
    </row>
    <row r="368" spans="1:6" ht="18" x14ac:dyDescent="0.2">
      <c r="A368" s="2">
        <v>45839</v>
      </c>
      <c r="B368" s="2">
        <v>45839</v>
      </c>
      <c r="C368" s="3" t="s">
        <v>12</v>
      </c>
      <c r="D368" s="4">
        <v>45</v>
      </c>
      <c r="E368" s="4" t="s">
        <v>286</v>
      </c>
      <c r="F368" s="3" t="str">
        <f>_xlfn.XLOOKUP(C368,[1]Mapping!A:A,[1]Mapping!B:B," ")</f>
        <v>3D</v>
      </c>
    </row>
    <row r="369" spans="1:6" ht="18" x14ac:dyDescent="0.2">
      <c r="A369" s="2">
        <v>45839</v>
      </c>
      <c r="B369" s="2">
        <v>45839</v>
      </c>
      <c r="C369" s="3" t="s">
        <v>287</v>
      </c>
      <c r="D369" s="4">
        <v>-1</v>
      </c>
      <c r="E369" s="4" t="s">
        <v>288</v>
      </c>
      <c r="F369" s="3" t="str">
        <f>_xlfn.XLOOKUP(C369,[1]Mapping!A:A,[1]Mapping!B:B," ")</f>
        <v>Gestao Conta</v>
      </c>
    </row>
    <row r="370" spans="1:6" ht="18" x14ac:dyDescent="0.2">
      <c r="A370" s="2">
        <v>45839</v>
      </c>
      <c r="B370" s="2">
        <v>45839</v>
      </c>
      <c r="C370" s="3" t="s">
        <v>289</v>
      </c>
      <c r="D370" s="4">
        <v>-0.04</v>
      </c>
      <c r="E370" s="4" t="s">
        <v>290</v>
      </c>
      <c r="F370" s="3" t="str">
        <f>_xlfn.XLOOKUP(C370,[1]Mapping!A:A,[1]Mapping!B:B," ")</f>
        <v>Gestao Conta</v>
      </c>
    </row>
    <row r="371" spans="1:6" ht="18" x14ac:dyDescent="0.2">
      <c r="A371" s="2">
        <v>45839</v>
      </c>
      <c r="B371" s="2">
        <v>45839</v>
      </c>
      <c r="C371" s="3" t="s">
        <v>10</v>
      </c>
      <c r="D371" s="4">
        <v>-60</v>
      </c>
      <c r="E371" s="4" t="s">
        <v>291</v>
      </c>
      <c r="F371" s="3" t="str">
        <f>_xlfn.XLOOKUP(C371,[1]Mapping!A:A,[1]Mapping!B:B," ")</f>
        <v>Conta Poupança</v>
      </c>
    </row>
    <row r="372" spans="1:6" ht="18" x14ac:dyDescent="0.2">
      <c r="A372" s="2">
        <v>45475</v>
      </c>
      <c r="B372" s="2">
        <v>45475</v>
      </c>
      <c r="C372" s="3" t="s">
        <v>18</v>
      </c>
      <c r="D372" s="4">
        <v>45</v>
      </c>
      <c r="E372" s="4">
        <v>714.03</v>
      </c>
      <c r="F372" s="3" t="str">
        <f>_xlfn.XLOOKUP(C372,[1]Mapping!A:A,[1]Mapping!B:B," ")</f>
        <v>1D</v>
      </c>
    </row>
    <row r="373" spans="1:6" ht="18" x14ac:dyDescent="0.2">
      <c r="A373" s="2">
        <v>45842</v>
      </c>
      <c r="B373" s="2">
        <v>45842</v>
      </c>
      <c r="C373" s="3" t="s">
        <v>14</v>
      </c>
      <c r="D373" s="4">
        <v>45</v>
      </c>
      <c r="E373" s="4" t="s">
        <v>292</v>
      </c>
      <c r="F373" s="3" t="str">
        <f>_xlfn.XLOOKUP(C373,[1]Mapping!A:A,[1]Mapping!B:B," ")</f>
        <v>1E</v>
      </c>
    </row>
    <row r="374" spans="1:6" ht="18" x14ac:dyDescent="0.2">
      <c r="A374" s="2">
        <v>45842</v>
      </c>
      <c r="B374" s="2">
        <v>45842</v>
      </c>
      <c r="C374" s="3" t="s">
        <v>160</v>
      </c>
      <c r="D374" s="4">
        <v>45</v>
      </c>
      <c r="E374" s="4" t="s">
        <v>293</v>
      </c>
      <c r="F374" s="3" t="str">
        <f>_xlfn.XLOOKUP(C374,[1]Mapping!A:A,[1]Mapping!B:B," ")</f>
        <v>4D</v>
      </c>
    </row>
    <row r="375" spans="1:6" ht="18" x14ac:dyDescent="0.2">
      <c r="A375" s="2">
        <v>45843</v>
      </c>
      <c r="B375" s="2">
        <v>45843</v>
      </c>
      <c r="C375" s="3" t="s">
        <v>26</v>
      </c>
      <c r="D375" s="4">
        <v>50</v>
      </c>
      <c r="E375" s="4" t="s">
        <v>294</v>
      </c>
      <c r="F375" s="3" t="str">
        <f>_xlfn.XLOOKUP(C375,[1]Mapping!A:A,[1]Mapping!B:B," ")</f>
        <v>RCE</v>
      </c>
    </row>
    <row r="376" spans="1:6" ht="18" x14ac:dyDescent="0.2">
      <c r="A376" s="2">
        <v>45843</v>
      </c>
      <c r="B376" s="2">
        <v>45843</v>
      </c>
      <c r="C376" s="3" t="s">
        <v>61</v>
      </c>
      <c r="D376" s="4">
        <v>37.5</v>
      </c>
      <c r="E376" s="4" t="s">
        <v>295</v>
      </c>
      <c r="F376" s="3" t="str">
        <f>_xlfn.XLOOKUP(C376,[1]Mapping!A:A,[1]Mapping!B:B," ")</f>
        <v>6D</v>
      </c>
    </row>
    <row r="377" spans="1:6" ht="18" x14ac:dyDescent="0.2">
      <c r="A377" s="2">
        <v>45843</v>
      </c>
      <c r="B377" s="2">
        <v>45843</v>
      </c>
      <c r="C377" s="3" t="s">
        <v>28</v>
      </c>
      <c r="D377" s="4">
        <v>45</v>
      </c>
      <c r="E377" s="4" t="s">
        <v>296</v>
      </c>
      <c r="F377" s="3" t="str">
        <f>_xlfn.XLOOKUP(C377,[1]Mapping!A:A,[1]Mapping!B:B," ")</f>
        <v>CV</v>
      </c>
    </row>
    <row r="378" spans="1:6" ht="18" x14ac:dyDescent="0.2">
      <c r="A378" s="2">
        <v>45845</v>
      </c>
      <c r="B378" s="2">
        <v>45845</v>
      </c>
      <c r="C378" s="3" t="s">
        <v>77</v>
      </c>
      <c r="D378" s="4">
        <v>45</v>
      </c>
      <c r="E378" s="4" t="s">
        <v>297</v>
      </c>
      <c r="F378" s="3" t="str">
        <f>_xlfn.XLOOKUP(C378,[1]Mapping!A:A,[1]Mapping!B:B," ")</f>
        <v>2D</v>
      </c>
    </row>
    <row r="379" spans="1:6" ht="18" x14ac:dyDescent="0.2">
      <c r="A379" s="2">
        <v>45846</v>
      </c>
      <c r="B379" s="2">
        <v>45846</v>
      </c>
      <c r="C379" s="3" t="s">
        <v>32</v>
      </c>
      <c r="D379" s="4">
        <v>45</v>
      </c>
      <c r="E379" s="4" t="s">
        <v>298</v>
      </c>
      <c r="F379" s="3" t="str">
        <f>_xlfn.XLOOKUP(C379,[1]Mapping!A:A,[1]Mapping!B:B," ")</f>
        <v>4E</v>
      </c>
    </row>
    <row r="380" spans="1:6" ht="18" x14ac:dyDescent="0.2">
      <c r="A380" s="2">
        <v>45852</v>
      </c>
      <c r="B380" s="2">
        <v>45852</v>
      </c>
      <c r="C380" s="3" t="s">
        <v>277</v>
      </c>
      <c r="D380" s="4">
        <v>-218.92</v>
      </c>
      <c r="E380" s="4" t="s">
        <v>299</v>
      </c>
      <c r="F380" s="3" t="str">
        <f>_xlfn.XLOOKUP(C380,[1]Mapping!A:A,[1]Mapping!B:B," ")</f>
        <v>Elevadores</v>
      </c>
    </row>
    <row r="381" spans="1:6" ht="18" x14ac:dyDescent="0.2">
      <c r="A381" s="2">
        <v>45852</v>
      </c>
      <c r="B381" s="2">
        <v>45852</v>
      </c>
      <c r="C381" s="3" t="s">
        <v>37</v>
      </c>
      <c r="D381" s="4">
        <v>-7</v>
      </c>
      <c r="E381" s="4" t="s">
        <v>300</v>
      </c>
      <c r="F381" s="3" t="str">
        <f>_xlfn.XLOOKUP(C381,[1]Mapping!A:A,[1]Mapping!B:B," ")</f>
        <v>Gestao Conta</v>
      </c>
    </row>
    <row r="382" spans="1:6" ht="18" x14ac:dyDescent="0.2">
      <c r="A382" s="2">
        <v>45852</v>
      </c>
      <c r="B382" s="2">
        <v>45852</v>
      </c>
      <c r="C382" s="3" t="s">
        <v>38</v>
      </c>
      <c r="D382" s="4">
        <v>-0.28000000000000003</v>
      </c>
      <c r="E382" s="4" t="s">
        <v>301</v>
      </c>
      <c r="F382" s="3" t="str">
        <f>_xlfn.XLOOKUP(C382,[1]Mapping!A:A,[1]Mapping!B:B," ")</f>
        <v>Gestao Conta</v>
      </c>
    </row>
    <row r="383" spans="1:6" ht="18" x14ac:dyDescent="0.2">
      <c r="A383" s="2">
        <v>45861</v>
      </c>
      <c r="B383" s="2">
        <v>45861</v>
      </c>
      <c r="C383" s="3" t="s">
        <v>63</v>
      </c>
      <c r="D383" s="4">
        <v>45</v>
      </c>
      <c r="E383" s="4" t="s">
        <v>302</v>
      </c>
      <c r="F383" s="3" t="str">
        <f>_xlfn.XLOOKUP(C383,[1]Mapping!A:A,[1]Mapping!B:B," ")</f>
        <v>6E</v>
      </c>
    </row>
    <row r="384" spans="1:6" ht="18" x14ac:dyDescent="0.2">
      <c r="A384" s="2">
        <v>45866</v>
      </c>
      <c r="B384" s="2">
        <v>45866</v>
      </c>
      <c r="C384" s="3" t="s">
        <v>284</v>
      </c>
      <c r="D384" s="4">
        <v>-153.77000000000001</v>
      </c>
      <c r="E384" s="4" t="s">
        <v>303</v>
      </c>
      <c r="F384" s="3" t="str">
        <f>_xlfn.XLOOKUP(C384,[1]Mapping!A:A,[1]Mapping!B:B," ")</f>
        <v>Luz</v>
      </c>
    </row>
    <row r="385" spans="1:6" ht="18" x14ac:dyDescent="0.2">
      <c r="A385" s="2">
        <v>45867</v>
      </c>
      <c r="B385" s="2">
        <v>45867</v>
      </c>
      <c r="C385" s="3" t="s">
        <v>170</v>
      </c>
      <c r="D385" s="4">
        <v>20</v>
      </c>
      <c r="E385" s="4" t="s">
        <v>304</v>
      </c>
      <c r="F385" s="3" t="str">
        <f>_xlfn.XLOOKUP(C385,[1]Mapping!A:A,[1]Mapping!B:B," ")</f>
        <v>RCD</v>
      </c>
    </row>
    <row r="386" spans="1:6" ht="18" x14ac:dyDescent="0.2">
      <c r="A386" s="2">
        <v>45868</v>
      </c>
      <c r="B386" s="2">
        <v>45868</v>
      </c>
      <c r="C386" s="3" t="s">
        <v>42</v>
      </c>
      <c r="D386" s="4">
        <v>45</v>
      </c>
      <c r="E386" s="4" t="s">
        <v>305</v>
      </c>
      <c r="F386" s="3" t="str">
        <f>_xlfn.XLOOKUP(C386,[1]Mapping!A:A,[1]Mapping!B:B," ")</f>
        <v>5E</v>
      </c>
    </row>
    <row r="387" spans="1:6" ht="18" x14ac:dyDescent="0.2">
      <c r="A387" s="2">
        <v>45870</v>
      </c>
      <c r="B387" s="2">
        <v>45870</v>
      </c>
      <c r="C387" s="3" t="s">
        <v>66</v>
      </c>
      <c r="D387" s="4">
        <v>45</v>
      </c>
      <c r="E387" s="4" t="s">
        <v>306</v>
      </c>
      <c r="F387" s="3" t="str">
        <f>_xlfn.XLOOKUP(C387,[1]Mapping!A:A,[1]Mapping!B:B," ")</f>
        <v>5D</v>
      </c>
    </row>
    <row r="388" spans="1:6" ht="18" x14ac:dyDescent="0.2">
      <c r="A388" s="2">
        <v>45870</v>
      </c>
      <c r="B388" s="2">
        <v>45870</v>
      </c>
      <c r="C388" s="3" t="s">
        <v>12</v>
      </c>
      <c r="D388" s="4">
        <v>45</v>
      </c>
      <c r="E388" s="4" t="s">
        <v>307</v>
      </c>
      <c r="F388" s="3" t="str">
        <f>_xlfn.XLOOKUP(C388,[1]Mapping!A:A,[1]Mapping!B:B," ")</f>
        <v>3D</v>
      </c>
    </row>
    <row r="389" spans="1:6" ht="18" x14ac:dyDescent="0.2">
      <c r="A389" s="2">
        <v>45870</v>
      </c>
      <c r="B389" s="2">
        <v>45870</v>
      </c>
      <c r="C389" s="3" t="s">
        <v>34</v>
      </c>
      <c r="D389" s="4">
        <v>-70</v>
      </c>
      <c r="E389" s="4" t="s">
        <v>308</v>
      </c>
      <c r="F389" s="3" t="str">
        <f>_xlfn.XLOOKUP(C389,[1]Mapping!A:A,[1]Mapping!B:B," ")</f>
        <v>Levantamento</v>
      </c>
    </row>
    <row r="390" spans="1:6" ht="18" x14ac:dyDescent="0.2">
      <c r="A390" s="2">
        <v>45870</v>
      </c>
      <c r="B390" s="2">
        <v>45870</v>
      </c>
      <c r="C390" s="3" t="s">
        <v>309</v>
      </c>
      <c r="D390" s="4">
        <v>-861</v>
      </c>
      <c r="E390" s="4" t="s">
        <v>310</v>
      </c>
      <c r="F390" s="3" t="str">
        <f>_xlfn.XLOOKUP(C390,[1]Mapping!A:A,[1]Mapping!B:B," ")</f>
        <v>Elevadores</v>
      </c>
    </row>
    <row r="391" spans="1:6" ht="18" x14ac:dyDescent="0.2">
      <c r="A391" s="2">
        <v>45870</v>
      </c>
      <c r="B391" s="2">
        <v>45870</v>
      </c>
      <c r="C391" s="3" t="s">
        <v>311</v>
      </c>
      <c r="D391" s="4">
        <v>-1</v>
      </c>
      <c r="E391" s="4" t="s">
        <v>312</v>
      </c>
      <c r="F391" s="3" t="str">
        <f>_xlfn.XLOOKUP(C391,[1]Mapping!A:A,[1]Mapping!B:B," ")</f>
        <v>Gestao Conta</v>
      </c>
    </row>
    <row r="392" spans="1:6" ht="18" x14ac:dyDescent="0.2">
      <c r="A392" s="2">
        <v>45870</v>
      </c>
      <c r="B392" s="2">
        <v>45870</v>
      </c>
      <c r="C392" s="3" t="s">
        <v>313</v>
      </c>
      <c r="D392" s="4">
        <v>-0.04</v>
      </c>
      <c r="E392" s="4" t="s">
        <v>314</v>
      </c>
      <c r="F392" s="3" t="str">
        <f>_xlfn.XLOOKUP(C392,[1]Mapping!A:A,[1]Mapping!B:B," ")</f>
        <v>Gestao Conta</v>
      </c>
    </row>
    <row r="393" spans="1:6" ht="18" x14ac:dyDescent="0.2">
      <c r="A393" s="2">
        <v>45870</v>
      </c>
      <c r="B393" s="2">
        <v>45870</v>
      </c>
      <c r="C393" s="3" t="s">
        <v>10</v>
      </c>
      <c r="D393" s="4">
        <v>-60</v>
      </c>
      <c r="E393" s="4">
        <v>958.33</v>
      </c>
      <c r="F393" s="3" t="str">
        <f>_xlfn.XLOOKUP(C393,[1]Mapping!A:A,[1]Mapping!B:B," ")</f>
        <v>Conta Poupança</v>
      </c>
    </row>
    <row r="394" spans="1:6" ht="18" x14ac:dyDescent="0.2">
      <c r="A394" s="2">
        <v>45874</v>
      </c>
      <c r="B394" s="2">
        <v>45874</v>
      </c>
      <c r="C394" s="3" t="s">
        <v>61</v>
      </c>
      <c r="D394" s="4">
        <v>37.5</v>
      </c>
      <c r="E394" s="4">
        <v>995.83</v>
      </c>
      <c r="F394" s="3" t="str">
        <f>_xlfn.XLOOKUP(C394,[1]Mapping!A:A,[1]Mapping!B:B," ")</f>
        <v>6D</v>
      </c>
    </row>
    <row r="395" spans="1:6" ht="18" x14ac:dyDescent="0.2">
      <c r="A395" s="2">
        <v>45874</v>
      </c>
      <c r="B395" s="2">
        <v>45874</v>
      </c>
      <c r="C395" s="3" t="s">
        <v>28</v>
      </c>
      <c r="D395" s="4">
        <v>45</v>
      </c>
      <c r="E395" s="4" t="s">
        <v>315</v>
      </c>
      <c r="F395" s="3" t="str">
        <f>_xlfn.XLOOKUP(C395,[1]Mapping!A:A,[1]Mapping!B:B," ")</f>
        <v>CV</v>
      </c>
    </row>
    <row r="396" spans="1:6" ht="18" x14ac:dyDescent="0.2">
      <c r="A396" s="2">
        <v>45448</v>
      </c>
      <c r="B396" s="2">
        <v>45448</v>
      </c>
      <c r="C396" s="3" t="s">
        <v>18</v>
      </c>
      <c r="D396" s="4">
        <v>45</v>
      </c>
      <c r="E396" s="4">
        <v>782.96</v>
      </c>
      <c r="F396" s="3" t="str">
        <f>_xlfn.XLOOKUP(C396,[1]Mapping!A:A,[1]Mapping!B:B," ")</f>
        <v>1D</v>
      </c>
    </row>
    <row r="397" spans="1:6" ht="18" x14ac:dyDescent="0.2">
      <c r="A397" s="2">
        <v>45874</v>
      </c>
      <c r="B397" s="2">
        <v>45874</v>
      </c>
      <c r="C397" s="3" t="s">
        <v>77</v>
      </c>
      <c r="D397" s="4">
        <v>45</v>
      </c>
      <c r="E397" s="4" t="s">
        <v>316</v>
      </c>
      <c r="F397" s="3" t="str">
        <f>_xlfn.XLOOKUP(C397,[1]Mapping!A:A,[1]Mapping!B:B," ")</f>
        <v>2D</v>
      </c>
    </row>
    <row r="398" spans="1:6" ht="18" x14ac:dyDescent="0.2">
      <c r="A398" s="2">
        <v>45874</v>
      </c>
      <c r="B398" s="2">
        <v>45874</v>
      </c>
      <c r="C398" s="3" t="s">
        <v>14</v>
      </c>
      <c r="D398" s="4">
        <v>45</v>
      </c>
      <c r="E398" s="4" t="s">
        <v>317</v>
      </c>
      <c r="F398" s="3" t="str">
        <f>_xlfn.XLOOKUP(C398,[1]Mapping!A:A,[1]Mapping!B:B," ")</f>
        <v>1E</v>
      </c>
    </row>
    <row r="399" spans="1:6" ht="18" x14ac:dyDescent="0.2">
      <c r="A399" s="2">
        <v>45874</v>
      </c>
      <c r="B399" s="2">
        <v>45874</v>
      </c>
      <c r="C399" s="3" t="s">
        <v>160</v>
      </c>
      <c r="D399" s="4">
        <v>45</v>
      </c>
      <c r="E399" s="4" t="s">
        <v>318</v>
      </c>
      <c r="F399" s="3" t="str">
        <f>_xlfn.XLOOKUP(C399,[1]Mapping!A:A,[1]Mapping!B:B," ")</f>
        <v>4D</v>
      </c>
    </row>
    <row r="400" spans="1:6" ht="18" x14ac:dyDescent="0.2">
      <c r="A400" s="2">
        <v>45876</v>
      </c>
      <c r="B400" s="2">
        <v>45876</v>
      </c>
      <c r="C400" s="3" t="s">
        <v>178</v>
      </c>
      <c r="D400" s="4">
        <v>40</v>
      </c>
      <c r="E400" s="4" t="s">
        <v>319</v>
      </c>
      <c r="F400" s="3" t="str">
        <f>_xlfn.XLOOKUP(C400,[1]Mapping!A:A,[1]Mapping!B:B," ")</f>
        <v>3E</v>
      </c>
    </row>
    <row r="401" spans="1:6" ht="18" x14ac:dyDescent="0.2">
      <c r="A401" s="2">
        <v>45879</v>
      </c>
      <c r="B401" s="2">
        <v>45879</v>
      </c>
      <c r="C401" s="3" t="s">
        <v>199</v>
      </c>
      <c r="D401" s="4">
        <v>45</v>
      </c>
      <c r="E401" s="4" t="s">
        <v>320</v>
      </c>
      <c r="F401" s="3" t="str">
        <f>_xlfn.XLOOKUP(C401,[1]Mapping!A:A,[1]Mapping!B:B," ")</f>
        <v>6D</v>
      </c>
    </row>
    <row r="402" spans="1:6" ht="18" x14ac:dyDescent="0.2">
      <c r="A402" s="2">
        <v>45880</v>
      </c>
      <c r="B402" s="2">
        <v>45880</v>
      </c>
      <c r="C402" s="3" t="s">
        <v>32</v>
      </c>
      <c r="D402" s="4">
        <v>45</v>
      </c>
      <c r="E402" s="4" t="s">
        <v>321</v>
      </c>
      <c r="F402" s="3" t="str">
        <f>_xlfn.XLOOKUP(C402,[1]Mapping!A:A,[1]Mapping!B:B," ")</f>
        <v>4E</v>
      </c>
    </row>
    <row r="403" spans="1:6" ht="18" x14ac:dyDescent="0.2">
      <c r="A403" s="2">
        <v>45881</v>
      </c>
      <c r="B403" s="2">
        <v>45881</v>
      </c>
      <c r="C403" s="3" t="s">
        <v>277</v>
      </c>
      <c r="D403" s="4">
        <v>-218.92</v>
      </c>
      <c r="E403" s="4" t="s">
        <v>322</v>
      </c>
      <c r="F403" s="3" t="str">
        <f>_xlfn.XLOOKUP(C403,[1]Mapping!A:A,[1]Mapping!B:B," ")</f>
        <v>Elevadores</v>
      </c>
    </row>
    <row r="404" spans="1:6" ht="18" x14ac:dyDescent="0.2">
      <c r="A404" s="2">
        <v>45883</v>
      </c>
      <c r="B404" s="2">
        <v>45883</v>
      </c>
      <c r="C404" s="3" t="s">
        <v>37</v>
      </c>
      <c r="D404" s="4">
        <v>-9</v>
      </c>
      <c r="E404" s="4" t="s">
        <v>323</v>
      </c>
      <c r="F404" s="3" t="str">
        <f>_xlfn.XLOOKUP(C404,[1]Mapping!A:A,[1]Mapping!B:B," ")</f>
        <v>Gestao Conta</v>
      </c>
    </row>
    <row r="405" spans="1:6" ht="18" x14ac:dyDescent="0.2">
      <c r="A405" s="2">
        <v>45883</v>
      </c>
      <c r="B405" s="2">
        <v>45883</v>
      </c>
      <c r="C405" s="3" t="s">
        <v>38</v>
      </c>
      <c r="D405" s="4">
        <v>-0.36</v>
      </c>
      <c r="E405" s="4" t="s">
        <v>324</v>
      </c>
      <c r="F405" s="3" t="str">
        <f>_xlfn.XLOOKUP(C405,[1]Mapping!A:A,[1]Mapping!B:B," ")</f>
        <v>Gestao Conta</v>
      </c>
    </row>
    <row r="406" spans="1:6" ht="18" x14ac:dyDescent="0.2">
      <c r="A406" s="2">
        <v>45896</v>
      </c>
      <c r="B406" s="2">
        <v>45896</v>
      </c>
      <c r="C406" s="3" t="s">
        <v>170</v>
      </c>
      <c r="D406" s="4">
        <v>20</v>
      </c>
      <c r="E406" s="4" t="s">
        <v>325</v>
      </c>
      <c r="F406" s="3" t="str">
        <f>_xlfn.XLOOKUP(C406,[1]Mapping!A:A,[1]Mapping!B:B," ")</f>
        <v>RCD</v>
      </c>
    </row>
    <row r="407" spans="1:6" ht="18" x14ac:dyDescent="0.2">
      <c r="A407" s="2">
        <v>45898</v>
      </c>
      <c r="B407" s="2">
        <v>45898</v>
      </c>
      <c r="C407" s="3" t="s">
        <v>284</v>
      </c>
      <c r="D407" s="4">
        <v>-157.41999999999999</v>
      </c>
      <c r="E407" s="4">
        <v>985.13</v>
      </c>
      <c r="F407" s="3" t="str">
        <f>_xlfn.XLOOKUP(C407,[1]Mapping!A:A,[1]Mapping!B:B," ")</f>
        <v>Luz</v>
      </c>
    </row>
    <row r="408" spans="1:6" ht="18" x14ac:dyDescent="0.2">
      <c r="A408" s="2">
        <v>45899</v>
      </c>
      <c r="B408" s="2">
        <v>45899</v>
      </c>
      <c r="C408" s="3" t="s">
        <v>42</v>
      </c>
      <c r="D408" s="4">
        <v>45</v>
      </c>
      <c r="E408" s="4" t="s">
        <v>326</v>
      </c>
      <c r="F408" s="3" t="str">
        <f>_xlfn.XLOOKUP(C408,[1]Mapping!A:A,[1]Mapping!B:B," ")</f>
        <v>5E</v>
      </c>
    </row>
    <row r="409" spans="1:6" ht="18" x14ac:dyDescent="0.2">
      <c r="A409" s="2">
        <v>45901</v>
      </c>
      <c r="B409" s="2">
        <v>45901</v>
      </c>
      <c r="C409" s="3" t="s">
        <v>66</v>
      </c>
      <c r="D409" s="4">
        <v>45</v>
      </c>
      <c r="E409" s="4" t="s">
        <v>327</v>
      </c>
      <c r="F409" s="3" t="str">
        <f>_xlfn.XLOOKUP(C409,[1]Mapping!A:A,[1]Mapping!B:B," ")</f>
        <v>5D</v>
      </c>
    </row>
    <row r="410" spans="1:6" ht="18" x14ac:dyDescent="0.2">
      <c r="A410" s="2">
        <v>45901</v>
      </c>
      <c r="B410" s="2">
        <v>45901</v>
      </c>
      <c r="C410" s="3" t="s">
        <v>328</v>
      </c>
      <c r="D410" s="4">
        <v>-1</v>
      </c>
      <c r="E410" s="4" t="s">
        <v>329</v>
      </c>
      <c r="F410" s="3" t="str">
        <f>_xlfn.XLOOKUP(C410,[1]Mapping!A:A,[1]Mapping!B:B," ")</f>
        <v>Gestao Conta</v>
      </c>
    </row>
    <row r="411" spans="1:6" ht="18" x14ac:dyDescent="0.2">
      <c r="A411" s="2">
        <v>45901</v>
      </c>
      <c r="B411" s="2">
        <v>45901</v>
      </c>
      <c r="C411" s="3" t="s">
        <v>330</v>
      </c>
      <c r="D411" s="4">
        <v>-0.04</v>
      </c>
      <c r="E411" s="4" t="s">
        <v>331</v>
      </c>
      <c r="F411" s="3" t="str">
        <f>_xlfn.XLOOKUP(C411,[1]Mapping!A:A,[1]Mapping!B:B," ")</f>
        <v>Gestao Conta</v>
      </c>
    </row>
    <row r="412" spans="1:6" ht="18" x14ac:dyDescent="0.2">
      <c r="A412" s="2">
        <v>45901</v>
      </c>
      <c r="B412" s="2">
        <v>45901</v>
      </c>
      <c r="C412" s="3" t="s">
        <v>10</v>
      </c>
      <c r="D412" s="4">
        <v>-60</v>
      </c>
      <c r="E412" s="4" t="s">
        <v>332</v>
      </c>
      <c r="F412" s="3" t="str">
        <f>_xlfn.XLOOKUP(C412,[1]Mapping!A:A,[1]Mapping!B:B," ")</f>
        <v>Conta Poupança</v>
      </c>
    </row>
    <row r="413" spans="1:6" ht="18" x14ac:dyDescent="0.2">
      <c r="A413" s="2">
        <v>45415</v>
      </c>
      <c r="B413" s="2">
        <v>45415</v>
      </c>
      <c r="C413" s="3" t="s">
        <v>18</v>
      </c>
      <c r="D413" s="4">
        <v>37.5</v>
      </c>
      <c r="E413" s="4">
        <v>182.18</v>
      </c>
      <c r="F413" s="3" t="str">
        <f>_xlfn.XLOOKUP(C413,[1]Mapping!A:A,[1]Mapping!B:B," ")</f>
        <v>1D</v>
      </c>
    </row>
    <row r="414" spans="1:6" ht="18" x14ac:dyDescent="0.2">
      <c r="A414" s="2">
        <v>45904</v>
      </c>
      <c r="B414" s="2">
        <v>45904</v>
      </c>
      <c r="C414" s="3" t="s">
        <v>14</v>
      </c>
      <c r="D414" s="4">
        <v>45</v>
      </c>
      <c r="E414" s="4" t="s">
        <v>333</v>
      </c>
      <c r="F414" s="3" t="str">
        <f>_xlfn.XLOOKUP(C414,[1]Mapping!A:A,[1]Mapping!B:B," ")</f>
        <v>1E</v>
      </c>
    </row>
    <row r="415" spans="1:6" ht="18" x14ac:dyDescent="0.2">
      <c r="A415" s="2">
        <v>45905</v>
      </c>
      <c r="B415" s="2">
        <v>45905</v>
      </c>
      <c r="C415" s="3" t="s">
        <v>26</v>
      </c>
      <c r="D415" s="4">
        <v>50</v>
      </c>
      <c r="E415" s="4" t="s">
        <v>334</v>
      </c>
      <c r="F415" s="3" t="str">
        <f>_xlfn.XLOOKUP(C415,[1]Mapping!A:A,[1]Mapping!B:B," ")</f>
        <v>RCE</v>
      </c>
    </row>
    <row r="416" spans="1:6" ht="18" x14ac:dyDescent="0.2">
      <c r="A416" s="2">
        <v>45905</v>
      </c>
      <c r="B416" s="2">
        <v>45905</v>
      </c>
      <c r="C416" s="3" t="s">
        <v>28</v>
      </c>
      <c r="D416" s="4">
        <v>45</v>
      </c>
      <c r="E416" s="4" t="s">
        <v>335</v>
      </c>
      <c r="F416" s="3" t="str">
        <f>_xlfn.XLOOKUP(C416,[1]Mapping!A:A,[1]Mapping!B:B," ")</f>
        <v>CV</v>
      </c>
    </row>
    <row r="417" spans="1:6" ht="18" x14ac:dyDescent="0.2">
      <c r="A417" s="2">
        <v>45905</v>
      </c>
      <c r="B417" s="2">
        <v>45905</v>
      </c>
      <c r="C417" s="3" t="s">
        <v>77</v>
      </c>
      <c r="D417" s="4">
        <v>45</v>
      </c>
      <c r="E417" s="4" t="s">
        <v>336</v>
      </c>
      <c r="F417" s="3" t="str">
        <f>_xlfn.XLOOKUP(C417,[1]Mapping!A:A,[1]Mapping!B:B," ")</f>
        <v>2D</v>
      </c>
    </row>
    <row r="418" spans="1:6" ht="18" x14ac:dyDescent="0.2">
      <c r="A418" s="2">
        <v>45905</v>
      </c>
      <c r="B418" s="2">
        <v>45905</v>
      </c>
      <c r="C418" s="3" t="s">
        <v>160</v>
      </c>
      <c r="D418" s="4">
        <v>45</v>
      </c>
      <c r="E418" s="4" t="s">
        <v>337</v>
      </c>
      <c r="F418" s="3" t="str">
        <f>_xlfn.XLOOKUP(C418,[1]Mapping!A:A,[1]Mapping!B:B," ")</f>
        <v>4D</v>
      </c>
    </row>
    <row r="419" spans="1:6" ht="18" x14ac:dyDescent="0.2">
      <c r="A419" s="2">
        <v>45905</v>
      </c>
      <c r="B419" s="2">
        <v>45905</v>
      </c>
      <c r="C419" s="3" t="s">
        <v>168</v>
      </c>
      <c r="D419" s="4">
        <v>90</v>
      </c>
      <c r="E419" s="4" t="s">
        <v>338</v>
      </c>
      <c r="F419" s="3" t="str">
        <f>_xlfn.XLOOKUP(C419,[1]Mapping!A:A,[1]Mapping!B:B," ")</f>
        <v>6E</v>
      </c>
    </row>
    <row r="420" spans="1:6" ht="18" x14ac:dyDescent="0.2">
      <c r="A420" s="2">
        <v>45911</v>
      </c>
      <c r="B420" s="2">
        <v>45911</v>
      </c>
      <c r="C420" s="3" t="s">
        <v>277</v>
      </c>
      <c r="D420" s="4">
        <v>-218.92</v>
      </c>
      <c r="E420" s="4" t="s">
        <v>339</v>
      </c>
      <c r="F420" s="3" t="str">
        <f>_xlfn.XLOOKUP(C420,[1]Mapping!A:A,[1]Mapping!B:B," ")</f>
        <v>Elevadores</v>
      </c>
    </row>
    <row r="421" spans="1:6" ht="18" x14ac:dyDescent="0.2">
      <c r="A421" s="2">
        <v>45914</v>
      </c>
      <c r="B421" s="2">
        <v>45914</v>
      </c>
      <c r="C421" s="3" t="s">
        <v>37</v>
      </c>
      <c r="D421" s="4">
        <v>-9</v>
      </c>
      <c r="E421" s="4" t="s">
        <v>340</v>
      </c>
      <c r="F421" s="3" t="str">
        <f>_xlfn.XLOOKUP(C421,[1]Mapping!A:A,[1]Mapping!B:B," ")</f>
        <v>Gestao Conta</v>
      </c>
    </row>
    <row r="422" spans="1:6" ht="18" x14ac:dyDescent="0.2">
      <c r="A422" s="2">
        <v>45914</v>
      </c>
      <c r="B422" s="2">
        <v>45914</v>
      </c>
      <c r="C422" s="3" t="s">
        <v>38</v>
      </c>
      <c r="D422" s="4">
        <v>-0.36</v>
      </c>
      <c r="E422" s="4" t="s">
        <v>341</v>
      </c>
      <c r="F422" s="3" t="str">
        <f>_xlfn.XLOOKUP(C422,[1]Mapping!A:A,[1]Mapping!B:B," ")</f>
        <v>Gestao Conta</v>
      </c>
    </row>
    <row r="423" spans="1:6" ht="18" x14ac:dyDescent="0.2">
      <c r="A423" s="2">
        <v>45915</v>
      </c>
      <c r="B423" s="2">
        <v>45915</v>
      </c>
      <c r="C423" s="3" t="s">
        <v>32</v>
      </c>
      <c r="D423" s="4">
        <v>45</v>
      </c>
      <c r="E423" s="4" t="s">
        <v>342</v>
      </c>
      <c r="F423" s="3" t="str">
        <f>_xlfn.XLOOKUP(C423,[1]Mapping!A:A,[1]Mapping!B:B," ")</f>
        <v>4E</v>
      </c>
    </row>
    <row r="424" spans="1:6" ht="18" x14ac:dyDescent="0.2">
      <c r="A424" s="2">
        <v>45926</v>
      </c>
      <c r="B424" s="2">
        <v>45926</v>
      </c>
      <c r="C424" s="3" t="s">
        <v>170</v>
      </c>
      <c r="D424" s="4">
        <v>20</v>
      </c>
      <c r="E424" s="4" t="s">
        <v>343</v>
      </c>
      <c r="F424" s="3" t="str">
        <f>_xlfn.XLOOKUP(C424,[1]Mapping!A:A,[1]Mapping!B:B," ")</f>
        <v>RCD</v>
      </c>
    </row>
    <row r="425" spans="1:6" ht="18" x14ac:dyDescent="0.2">
      <c r="A425" s="2">
        <v>45929</v>
      </c>
      <c r="B425" s="2">
        <v>45929</v>
      </c>
      <c r="C425" s="3" t="s">
        <v>284</v>
      </c>
      <c r="D425" s="4">
        <v>-149.37</v>
      </c>
      <c r="E425" s="4" t="s">
        <v>344</v>
      </c>
      <c r="F425" s="3" t="str">
        <f>_xlfn.XLOOKUP(C425,[1]Mapping!A:A,[1]Mapping!B:B," ")</f>
        <v>Luz</v>
      </c>
    </row>
    <row r="426" spans="1:6" ht="18" x14ac:dyDescent="0.2">
      <c r="A426" s="2">
        <v>45930</v>
      </c>
      <c r="B426" s="2">
        <v>45930</v>
      </c>
      <c r="C426" s="3" t="s">
        <v>42</v>
      </c>
      <c r="D426" s="4">
        <v>45</v>
      </c>
      <c r="E426" s="4" t="s">
        <v>345</v>
      </c>
      <c r="F426" s="3" t="str">
        <f>_xlfn.XLOOKUP(C426,[1]Mapping!A:A,[1]Mapping!B:B," ")</f>
        <v>5E</v>
      </c>
    </row>
    <row r="427" spans="1:6" ht="18" x14ac:dyDescent="0.2">
      <c r="A427" s="2">
        <v>45931</v>
      </c>
      <c r="B427" s="2">
        <v>45931</v>
      </c>
      <c r="C427" s="3" t="s">
        <v>66</v>
      </c>
      <c r="D427" s="4">
        <v>45</v>
      </c>
      <c r="E427" s="4" t="s">
        <v>346</v>
      </c>
      <c r="F427" s="3" t="str">
        <f>_xlfn.XLOOKUP(C427,[1]Mapping!A:A,[1]Mapping!B:B," ")</f>
        <v>5D</v>
      </c>
    </row>
    <row r="428" spans="1:6" ht="18" x14ac:dyDescent="0.2">
      <c r="A428" s="2">
        <v>45931</v>
      </c>
      <c r="B428" s="2">
        <v>45931</v>
      </c>
      <c r="C428" s="3" t="s">
        <v>12</v>
      </c>
      <c r="D428" s="4">
        <v>45</v>
      </c>
      <c r="E428" s="4" t="s">
        <v>347</v>
      </c>
      <c r="F428" s="3" t="str">
        <f>_xlfn.XLOOKUP(C428,[1]Mapping!A:A,[1]Mapping!B:B," ")</f>
        <v>3D</v>
      </c>
    </row>
    <row r="429" spans="1:6" ht="18" x14ac:dyDescent="0.2">
      <c r="A429" s="2">
        <v>45931</v>
      </c>
      <c r="B429" s="2">
        <v>45931</v>
      </c>
      <c r="C429" s="3" t="s">
        <v>348</v>
      </c>
      <c r="D429" s="4">
        <v>-1</v>
      </c>
      <c r="E429" s="4" t="s">
        <v>349</v>
      </c>
      <c r="F429" s="3" t="str">
        <f>_xlfn.XLOOKUP(C429,[1]Mapping!A:A,[1]Mapping!B:B," ")</f>
        <v>Gestao Conta</v>
      </c>
    </row>
    <row r="430" spans="1:6" ht="18" x14ac:dyDescent="0.2">
      <c r="A430" s="2">
        <v>45931</v>
      </c>
      <c r="B430" s="2">
        <v>45931</v>
      </c>
      <c r="C430" s="3" t="s">
        <v>350</v>
      </c>
      <c r="D430" s="4">
        <v>-0.04</v>
      </c>
      <c r="E430" s="4" t="s">
        <v>351</v>
      </c>
      <c r="F430" s="3" t="str">
        <f>_xlfn.XLOOKUP(C430,[1]Mapping!A:A,[1]Mapping!B:B," ")</f>
        <v>Gestao Conta</v>
      </c>
    </row>
    <row r="431" spans="1:6" ht="18" x14ac:dyDescent="0.2">
      <c r="A431" s="2">
        <v>45931</v>
      </c>
      <c r="B431" s="2">
        <v>45931</v>
      </c>
      <c r="C431" s="3" t="s">
        <v>10</v>
      </c>
      <c r="D431" s="4">
        <v>-60</v>
      </c>
      <c r="E431" s="4" t="s">
        <v>352</v>
      </c>
      <c r="F431" s="3" t="str">
        <f>_xlfn.XLOOKUP(C431,[1]Mapping!A:A,[1]Mapping!B:B," ")</f>
        <v>Conta Poupança</v>
      </c>
    </row>
    <row r="432" spans="1:6" ht="18" x14ac:dyDescent="0.2">
      <c r="A432" s="2">
        <v>45385</v>
      </c>
      <c r="B432" s="2">
        <v>45385</v>
      </c>
      <c r="C432" s="3" t="s">
        <v>18</v>
      </c>
      <c r="D432" s="4">
        <v>37.5</v>
      </c>
      <c r="E432" s="4">
        <v>362.65</v>
      </c>
      <c r="F432" s="3" t="str">
        <f>_xlfn.XLOOKUP(C432,[1]Mapping!A:A,[1]Mapping!B:B," ")</f>
        <v>1D</v>
      </c>
    </row>
    <row r="433" spans="1:6" ht="18" x14ac:dyDescent="0.2">
      <c r="A433" s="2">
        <v>45932</v>
      </c>
      <c r="B433" s="2">
        <v>45932</v>
      </c>
      <c r="C433" s="3" t="s">
        <v>160</v>
      </c>
      <c r="D433" s="4">
        <v>45</v>
      </c>
      <c r="E433" s="4" t="s">
        <v>353</v>
      </c>
      <c r="F433" s="3" t="str">
        <f>_xlfn.XLOOKUP(C433,[1]Mapping!A:A,[1]Mapping!B:B," ")</f>
        <v>4D</v>
      </c>
    </row>
    <row r="434" spans="1:6" ht="18" x14ac:dyDescent="0.2">
      <c r="A434" s="2">
        <v>45932</v>
      </c>
      <c r="B434" s="2">
        <v>45932</v>
      </c>
      <c r="C434" s="3" t="s">
        <v>168</v>
      </c>
      <c r="D434" s="4">
        <v>45</v>
      </c>
      <c r="E434" s="4" t="s">
        <v>354</v>
      </c>
      <c r="F434" s="3" t="str">
        <f>_xlfn.XLOOKUP(C434,[1]Mapping!A:A,[1]Mapping!B:B," ")</f>
        <v>6E</v>
      </c>
    </row>
    <row r="435" spans="1:6" ht="18" x14ac:dyDescent="0.2">
      <c r="A435" s="2">
        <v>45935</v>
      </c>
      <c r="B435" s="2">
        <v>45935</v>
      </c>
      <c r="C435" s="3" t="s">
        <v>26</v>
      </c>
      <c r="D435" s="4">
        <v>50</v>
      </c>
      <c r="E435" s="4" t="s">
        <v>355</v>
      </c>
      <c r="F435" s="3" t="str">
        <f>_xlfn.XLOOKUP(C435,[1]Mapping!A:A,[1]Mapping!B:B," ")</f>
        <v>RCE</v>
      </c>
    </row>
    <row r="436" spans="1:6" ht="18" x14ac:dyDescent="0.2">
      <c r="A436" s="2">
        <v>45935</v>
      </c>
      <c r="B436" s="2">
        <v>45935</v>
      </c>
      <c r="C436" s="3" t="s">
        <v>28</v>
      </c>
      <c r="D436" s="4">
        <v>45</v>
      </c>
      <c r="E436" s="4" t="s">
        <v>356</v>
      </c>
      <c r="F436" s="3" t="str">
        <f>_xlfn.XLOOKUP(C436,[1]Mapping!A:A,[1]Mapping!B:B," ")</f>
        <v>CV</v>
      </c>
    </row>
    <row r="437" spans="1:6" ht="18" x14ac:dyDescent="0.2">
      <c r="A437" s="2">
        <v>45936</v>
      </c>
      <c r="B437" s="2">
        <v>45936</v>
      </c>
      <c r="C437" s="3" t="s">
        <v>14</v>
      </c>
      <c r="D437" s="4">
        <v>45</v>
      </c>
      <c r="E437" s="4" t="s">
        <v>357</v>
      </c>
      <c r="F437" s="3" t="str">
        <f>_xlfn.XLOOKUP(C437,[1]Mapping!A:A,[1]Mapping!B:B," ")</f>
        <v>1E</v>
      </c>
    </row>
    <row r="438" spans="1:6" ht="18" x14ac:dyDescent="0.2">
      <c r="A438" s="2">
        <v>45936</v>
      </c>
      <c r="B438" s="2">
        <v>45936</v>
      </c>
      <c r="C438" s="3" t="s">
        <v>178</v>
      </c>
      <c r="D438" s="4">
        <v>80</v>
      </c>
      <c r="E438" s="4" t="s">
        <v>358</v>
      </c>
      <c r="F438" s="3" t="str">
        <f>_xlfn.XLOOKUP(C438,[1]Mapping!A:A,[1]Mapping!B:B," ")</f>
        <v>3E</v>
      </c>
    </row>
    <row r="439" spans="1:6" ht="18" x14ac:dyDescent="0.2">
      <c r="A439" s="2">
        <v>45937</v>
      </c>
      <c r="B439" s="2">
        <v>45937</v>
      </c>
      <c r="C439" s="3" t="s">
        <v>77</v>
      </c>
      <c r="D439" s="4">
        <v>45</v>
      </c>
      <c r="E439" s="4" t="s">
        <v>359</v>
      </c>
      <c r="F439" s="3" t="str">
        <f>_xlfn.XLOOKUP(C439,[1]Mapping!A:A,[1]Mapping!B:B," ")</f>
        <v>2D</v>
      </c>
    </row>
    <row r="440" spans="1:6" ht="18" x14ac:dyDescent="0.2">
      <c r="A440" s="2">
        <v>45939</v>
      </c>
      <c r="B440" s="2">
        <v>45939</v>
      </c>
      <c r="C440" s="3" t="s">
        <v>32</v>
      </c>
      <c r="D440" s="4">
        <v>45</v>
      </c>
      <c r="E440" s="4" t="s">
        <v>360</v>
      </c>
      <c r="F440" s="3" t="str">
        <f>_xlfn.XLOOKUP(C440,[1]Mapping!A:A,[1]Mapping!B:B," ")</f>
        <v>4E</v>
      </c>
    </row>
    <row r="441" spans="1:6" ht="18" x14ac:dyDescent="0.2">
      <c r="A441" s="2">
        <v>45943</v>
      </c>
      <c r="B441" s="2">
        <v>45943</v>
      </c>
      <c r="C441" s="3" t="s">
        <v>277</v>
      </c>
      <c r="D441" s="4">
        <v>-218.92</v>
      </c>
      <c r="E441" s="4" t="s">
        <v>361</v>
      </c>
      <c r="F441" s="3" t="str">
        <f>_xlfn.XLOOKUP(C441,[1]Mapping!A:A,[1]Mapping!B:B," ")</f>
        <v>Elevadores</v>
      </c>
    </row>
    <row r="442" spans="1:6" ht="18" x14ac:dyDescent="0.2">
      <c r="A442" s="2">
        <v>45944</v>
      </c>
      <c r="B442" s="2">
        <v>45944</v>
      </c>
      <c r="C442" s="3" t="s">
        <v>37</v>
      </c>
      <c r="D442" s="4">
        <v>-9</v>
      </c>
      <c r="E442" s="4" t="s">
        <v>362</v>
      </c>
      <c r="F442" s="3" t="str">
        <f>_xlfn.XLOOKUP(C442,[1]Mapping!A:A,[1]Mapping!B:B," ")</f>
        <v>Gestao Conta</v>
      </c>
    </row>
    <row r="443" spans="1:6" ht="18" x14ac:dyDescent="0.2">
      <c r="A443" s="2">
        <v>45944</v>
      </c>
      <c r="B443" s="2">
        <v>45944</v>
      </c>
      <c r="C443" s="3" t="s">
        <v>38</v>
      </c>
      <c r="D443" s="4">
        <v>-0.36</v>
      </c>
      <c r="E443" s="4" t="s">
        <v>363</v>
      </c>
      <c r="F443" s="3" t="str">
        <f>_xlfn.XLOOKUP(C443,[1]Mapping!A:A,[1]Mapping!B:B," ")</f>
        <v>Gestao Conta</v>
      </c>
    </row>
    <row r="444" spans="1:6" ht="18" x14ac:dyDescent="0.2">
      <c r="A444" s="2">
        <v>45951</v>
      </c>
      <c r="B444" s="2">
        <v>45951</v>
      </c>
      <c r="C444" s="3" t="s">
        <v>34</v>
      </c>
      <c r="D444" s="4">
        <v>-200</v>
      </c>
      <c r="E444" s="4" t="s">
        <v>364</v>
      </c>
      <c r="F444" s="3" t="str">
        <f>_xlfn.XLOOKUP(C444,[1]Mapping!A:A,[1]Mapping!B:B," ")</f>
        <v>Levantamento</v>
      </c>
    </row>
    <row r="445" spans="1:6" ht="18" x14ac:dyDescent="0.2">
      <c r="A445" s="2">
        <v>45951</v>
      </c>
      <c r="B445" s="2">
        <v>45951</v>
      </c>
      <c r="C445" s="3" t="s">
        <v>34</v>
      </c>
      <c r="D445" s="4">
        <v>-200</v>
      </c>
      <c r="E445" s="4">
        <v>957.12</v>
      </c>
      <c r="F445" s="3" t="str">
        <f>_xlfn.XLOOKUP(C445,[1]Mapping!A:A,[1]Mapping!B:B," ")</f>
        <v>Levantamento</v>
      </c>
    </row>
    <row r="446" spans="1:6" ht="18" x14ac:dyDescent="0.2">
      <c r="A446" s="2">
        <v>45952</v>
      </c>
      <c r="B446" s="2">
        <v>45952</v>
      </c>
      <c r="C446" s="3" t="s">
        <v>34</v>
      </c>
      <c r="D446" s="4">
        <v>-200</v>
      </c>
      <c r="E446" s="4">
        <v>757.12</v>
      </c>
      <c r="F446" s="3" t="str">
        <f>_xlfn.XLOOKUP(C446,[1]Mapping!A:A,[1]Mapping!B:B," ")</f>
        <v>Levantamento</v>
      </c>
    </row>
    <row r="447" spans="1:6" ht="18" x14ac:dyDescent="0.2">
      <c r="A447" s="2">
        <v>45952</v>
      </c>
      <c r="B447" s="2">
        <v>45952</v>
      </c>
      <c r="C447" s="3" t="s">
        <v>34</v>
      </c>
      <c r="D447" s="4">
        <v>-200</v>
      </c>
      <c r="E447" s="4">
        <v>557.12</v>
      </c>
      <c r="F447" s="3" t="str">
        <f>_xlfn.XLOOKUP(C447,[1]Mapping!A:A,[1]Mapping!B:B," ")</f>
        <v>Levantamento</v>
      </c>
    </row>
    <row r="448" spans="1:6" ht="18" x14ac:dyDescent="0.2">
      <c r="A448" s="2">
        <v>45953</v>
      </c>
      <c r="B448" s="2">
        <v>45953</v>
      </c>
      <c r="C448" s="3" t="s">
        <v>34</v>
      </c>
      <c r="D448" s="4">
        <v>-200</v>
      </c>
      <c r="E448" s="4">
        <v>357.12</v>
      </c>
      <c r="F448" s="3" t="str">
        <f>_xlfn.XLOOKUP(C448,[1]Mapping!A:A,[1]Mapping!B:B," ")</f>
        <v>Levantamento</v>
      </c>
    </row>
    <row r="449" spans="1:6" ht="18" x14ac:dyDescent="0.2">
      <c r="A449" s="2">
        <v>45953</v>
      </c>
      <c r="B449" s="2">
        <v>45953</v>
      </c>
      <c r="C449" s="3" t="s">
        <v>34</v>
      </c>
      <c r="D449" s="4">
        <v>-200</v>
      </c>
      <c r="E449" s="4">
        <v>157.12</v>
      </c>
      <c r="F449" s="3" t="str">
        <f>_xlfn.XLOOKUP(C449,[1]Mapping!A:A,[1]Mapping!B:B," ")</f>
        <v>Levantamento</v>
      </c>
    </row>
    <row r="450" spans="1:6" ht="18" x14ac:dyDescent="0.2">
      <c r="A450" s="2">
        <v>45958</v>
      </c>
      <c r="B450" s="2">
        <v>45958</v>
      </c>
      <c r="C450" s="3" t="s">
        <v>284</v>
      </c>
      <c r="D450" s="4">
        <v>-150.12</v>
      </c>
      <c r="E450" s="4">
        <v>7</v>
      </c>
      <c r="F450" s="3" t="str">
        <f>_xlfn.XLOOKUP(C450,[1]Mapping!A:A,[1]Mapping!B:B," ")</f>
        <v>Luz</v>
      </c>
    </row>
    <row r="451" spans="1:6" ht="18" x14ac:dyDescent="0.2">
      <c r="A451" s="2">
        <v>45959</v>
      </c>
      <c r="B451" s="2">
        <v>45959</v>
      </c>
      <c r="C451" s="3" t="s">
        <v>170</v>
      </c>
      <c r="D451" s="4">
        <v>20</v>
      </c>
      <c r="E451" s="4">
        <v>27</v>
      </c>
      <c r="F451" s="3" t="str">
        <f>_xlfn.XLOOKUP(C451,[1]Mapping!A:A,[1]Mapping!B:B," ")</f>
        <v>RCD</v>
      </c>
    </row>
    <row r="452" spans="1:6" ht="18" x14ac:dyDescent="0.2">
      <c r="A452" s="2">
        <v>45960</v>
      </c>
      <c r="B452" s="2">
        <v>45960</v>
      </c>
      <c r="C452" s="3" t="s">
        <v>42</v>
      </c>
      <c r="D452" s="4">
        <v>45</v>
      </c>
      <c r="E452" s="4">
        <v>72</v>
      </c>
      <c r="F452" s="3" t="str">
        <f>_xlfn.XLOOKUP(C452,[1]Mapping!A:A,[1]Mapping!B:B," ")</f>
        <v>5E</v>
      </c>
    </row>
    <row r="453" spans="1:6" ht="18" x14ac:dyDescent="0.2">
      <c r="A453" s="2">
        <v>45962</v>
      </c>
      <c r="B453" s="2">
        <v>45962</v>
      </c>
      <c r="C453" s="3" t="s">
        <v>66</v>
      </c>
      <c r="D453" s="4">
        <v>45</v>
      </c>
      <c r="E453" s="4">
        <v>117</v>
      </c>
      <c r="F453" s="3" t="str">
        <f>_xlfn.XLOOKUP(C453,[1]Mapping!A:A,[1]Mapping!B:B," ")</f>
        <v>5D</v>
      </c>
    </row>
    <row r="454" spans="1:6" ht="18" x14ac:dyDescent="0.2">
      <c r="A454" s="2">
        <v>45962</v>
      </c>
      <c r="B454" s="2">
        <v>45962</v>
      </c>
      <c r="C454" s="3" t="s">
        <v>365</v>
      </c>
      <c r="D454" s="4">
        <v>-1</v>
      </c>
      <c r="E454" s="4">
        <v>116</v>
      </c>
      <c r="F454" s="3" t="str">
        <f>_xlfn.XLOOKUP(C454,[1]Mapping!A:A,[1]Mapping!B:B," ")</f>
        <v>Gestao Conta</v>
      </c>
    </row>
    <row r="455" spans="1:6" ht="18" x14ac:dyDescent="0.2">
      <c r="A455" s="2">
        <v>45962</v>
      </c>
      <c r="B455" s="2">
        <v>45962</v>
      </c>
      <c r="C455" s="3" t="s">
        <v>366</v>
      </c>
      <c r="D455" s="4">
        <v>-0.04</v>
      </c>
      <c r="E455" s="4">
        <v>115.96</v>
      </c>
      <c r="F455" s="3" t="str">
        <f>_xlfn.XLOOKUP(C455,[1]Mapping!A:A,[1]Mapping!B:B," ")</f>
        <v>Gestao Conta</v>
      </c>
    </row>
    <row r="456" spans="1:6" ht="18" x14ac:dyDescent="0.2">
      <c r="A456" s="2">
        <v>45962</v>
      </c>
      <c r="B456" s="2">
        <v>45962</v>
      </c>
      <c r="C456" s="3" t="s">
        <v>10</v>
      </c>
      <c r="D456" s="4">
        <v>-60</v>
      </c>
      <c r="E456" s="4">
        <v>55.96</v>
      </c>
      <c r="F456" s="3" t="str">
        <f>_xlfn.XLOOKUP(C456,[1]Mapping!A:A,[1]Mapping!B:B," ")</f>
        <v>Conta Poupança</v>
      </c>
    </row>
    <row r="457" spans="1:6" ht="18" x14ac:dyDescent="0.2">
      <c r="A457" s="2">
        <v>45964</v>
      </c>
      <c r="B457" s="2">
        <v>45964</v>
      </c>
      <c r="C457" s="3" t="s">
        <v>12</v>
      </c>
      <c r="D457" s="4">
        <v>45</v>
      </c>
      <c r="E457" s="4">
        <v>100.96</v>
      </c>
      <c r="F457" s="3" t="str">
        <f>_xlfn.XLOOKUP(C457,[1]Mapping!A:A,[1]Mapping!B:B," ")</f>
        <v>3D</v>
      </c>
    </row>
    <row r="458" spans="1:6" ht="18" x14ac:dyDescent="0.2">
      <c r="A458" s="2">
        <v>45356</v>
      </c>
      <c r="B458" s="2">
        <v>45356</v>
      </c>
      <c r="C458" s="3" t="s">
        <v>18</v>
      </c>
      <c r="D458" s="4">
        <v>37.5</v>
      </c>
      <c r="E458" s="4">
        <v>459.86</v>
      </c>
      <c r="F458" s="3" t="str">
        <f>_xlfn.XLOOKUP(C458,[1]Mapping!A:A,[1]Mapping!B:B," ")</f>
        <v>1D</v>
      </c>
    </row>
    <row r="459" spans="1:6" ht="18" x14ac:dyDescent="0.2">
      <c r="A459" s="2">
        <v>45965</v>
      </c>
      <c r="B459" s="2">
        <v>45965</v>
      </c>
      <c r="C459" s="3" t="s">
        <v>14</v>
      </c>
      <c r="D459" s="4">
        <v>45</v>
      </c>
      <c r="E459" s="4">
        <v>190.96</v>
      </c>
      <c r="F459" s="3" t="str">
        <f>_xlfn.XLOOKUP(C459,[1]Mapping!A:A,[1]Mapping!B:B," ")</f>
        <v>1E</v>
      </c>
    </row>
    <row r="460" spans="1:6" ht="18" x14ac:dyDescent="0.2">
      <c r="A460" s="2">
        <v>45965</v>
      </c>
      <c r="B460" s="2">
        <v>45965</v>
      </c>
      <c r="C460" s="3" t="s">
        <v>160</v>
      </c>
      <c r="D460" s="4">
        <v>45</v>
      </c>
      <c r="E460" s="4">
        <v>235.96</v>
      </c>
      <c r="F460" s="3" t="str">
        <f>_xlfn.XLOOKUP(C460,[1]Mapping!A:A,[1]Mapping!B:B," ")</f>
        <v>4D</v>
      </c>
    </row>
    <row r="461" spans="1:6" ht="18" x14ac:dyDescent="0.2">
      <c r="A461" s="2">
        <v>45966</v>
      </c>
      <c r="B461" s="2">
        <v>45966</v>
      </c>
      <c r="C461" s="3" t="s">
        <v>26</v>
      </c>
      <c r="D461" s="4">
        <v>50</v>
      </c>
      <c r="E461" s="4">
        <v>285.95999999999998</v>
      </c>
      <c r="F461" s="3" t="str">
        <f>_xlfn.XLOOKUP(C461,[1]Mapping!A:A,[1]Mapping!B:B," ")</f>
        <v>RCE</v>
      </c>
    </row>
    <row r="462" spans="1:6" ht="18" x14ac:dyDescent="0.2">
      <c r="A462" s="2">
        <v>45966</v>
      </c>
      <c r="B462" s="2">
        <v>45966</v>
      </c>
      <c r="C462" s="3" t="s">
        <v>28</v>
      </c>
      <c r="D462" s="4">
        <v>45</v>
      </c>
      <c r="E462" s="4">
        <v>330.96</v>
      </c>
      <c r="F462" s="3" t="str">
        <f>_xlfn.XLOOKUP(C462,[1]Mapping!A:A,[1]Mapping!B:B," ")</f>
        <v>CV</v>
      </c>
    </row>
    <row r="463" spans="1:6" ht="18" x14ac:dyDescent="0.2">
      <c r="A463" s="2">
        <v>45966</v>
      </c>
      <c r="B463" s="2">
        <v>45966</v>
      </c>
      <c r="C463" s="3" t="s">
        <v>77</v>
      </c>
      <c r="D463" s="4">
        <v>45</v>
      </c>
      <c r="E463" s="4">
        <v>375.96</v>
      </c>
      <c r="F463" s="3" t="str">
        <f>_xlfn.XLOOKUP(C463,[1]Mapping!A:A,[1]Mapping!B:B," ")</f>
        <v>2D</v>
      </c>
    </row>
    <row r="464" spans="1:6" ht="18" x14ac:dyDescent="0.2">
      <c r="A464" s="2">
        <v>45967</v>
      </c>
      <c r="B464" s="2">
        <v>45967</v>
      </c>
      <c r="C464" s="3" t="s">
        <v>178</v>
      </c>
      <c r="D464" s="4">
        <v>80</v>
      </c>
      <c r="E464" s="4">
        <v>455.96</v>
      </c>
      <c r="F464" s="3" t="str">
        <f>_xlfn.XLOOKUP(C464,[1]Mapping!A:A,[1]Mapping!B:B," ")</f>
        <v>3E</v>
      </c>
    </row>
    <row r="465" spans="1:6" ht="18" x14ac:dyDescent="0.2">
      <c r="A465" s="2">
        <v>45968</v>
      </c>
      <c r="B465" s="2">
        <v>45968</v>
      </c>
      <c r="C465" s="3" t="s">
        <v>61</v>
      </c>
      <c r="D465" s="4">
        <v>37.5</v>
      </c>
      <c r="E465" s="4">
        <v>493.46</v>
      </c>
      <c r="F465" s="3" t="str">
        <f>_xlfn.XLOOKUP(C465,[1]Mapping!A:A,[1]Mapping!B:B," ")</f>
        <v>6D</v>
      </c>
    </row>
    <row r="466" spans="1:6" ht="18" x14ac:dyDescent="0.2">
      <c r="A466" s="2">
        <v>45971</v>
      </c>
      <c r="B466" s="2">
        <v>45971</v>
      </c>
      <c r="C466" s="3" t="s">
        <v>32</v>
      </c>
      <c r="D466" s="4">
        <v>45</v>
      </c>
      <c r="E466" s="4">
        <v>538.46</v>
      </c>
      <c r="F466" s="3" t="str">
        <f>_xlfn.XLOOKUP(C466,[1]Mapping!A:A,[1]Mapping!B:B," ")</f>
        <v>4E</v>
      </c>
    </row>
    <row r="467" spans="1:6" ht="18" x14ac:dyDescent="0.2">
      <c r="A467" s="2">
        <v>45971</v>
      </c>
      <c r="B467" s="2">
        <v>45971</v>
      </c>
      <c r="C467" s="3" t="s">
        <v>168</v>
      </c>
      <c r="D467" s="4">
        <v>45</v>
      </c>
      <c r="E467" s="4">
        <v>583.46</v>
      </c>
      <c r="F467" s="3" t="str">
        <f>_xlfn.XLOOKUP(C467,[1]Mapping!A:A,[1]Mapping!B:B," ")</f>
        <v>6E</v>
      </c>
    </row>
    <row r="468" spans="1:6" ht="18" x14ac:dyDescent="0.2">
      <c r="A468" s="2">
        <v>45972</v>
      </c>
      <c r="B468" s="2">
        <v>45972</v>
      </c>
      <c r="C468" s="3" t="s">
        <v>277</v>
      </c>
      <c r="D468" s="4">
        <v>-232.27</v>
      </c>
      <c r="E468" s="4">
        <v>351.19</v>
      </c>
      <c r="F468" s="3" t="str">
        <f>_xlfn.XLOOKUP(C468,[1]Mapping!A:A,[1]Mapping!B:B," ")</f>
        <v>Elevadores</v>
      </c>
    </row>
    <row r="469" spans="1:6" ht="18" x14ac:dyDescent="0.2">
      <c r="A469" s="2">
        <v>45975</v>
      </c>
      <c r="B469" s="2">
        <v>45975</v>
      </c>
      <c r="C469" s="3" t="s">
        <v>37</v>
      </c>
      <c r="D469" s="4">
        <v>-9</v>
      </c>
      <c r="E469" s="4">
        <v>342.19</v>
      </c>
      <c r="F469" s="3" t="str">
        <f>_xlfn.XLOOKUP(C469,[1]Mapping!A:A,[1]Mapping!B:B," ")</f>
        <v>Gestao Conta</v>
      </c>
    </row>
    <row r="470" spans="1:6" ht="18" x14ac:dyDescent="0.2">
      <c r="A470" s="2">
        <v>45975</v>
      </c>
      <c r="B470" s="2">
        <v>45975</v>
      </c>
      <c r="C470" s="3" t="s">
        <v>38</v>
      </c>
      <c r="D470" s="4">
        <v>-0.36</v>
      </c>
      <c r="E470" s="4">
        <v>341.83</v>
      </c>
      <c r="F470" s="3" t="str">
        <f>_xlfn.XLOOKUP(C470,[1]Mapping!A:A,[1]Mapping!B:B," ")</f>
        <v>Gestao Conta</v>
      </c>
    </row>
    <row r="471" spans="1:6" ht="18" x14ac:dyDescent="0.2">
      <c r="A471" s="2">
        <v>45987</v>
      </c>
      <c r="B471" s="2">
        <v>45987</v>
      </c>
      <c r="C471" s="3" t="s">
        <v>170</v>
      </c>
      <c r="D471" s="4">
        <v>20</v>
      </c>
      <c r="E471" s="4">
        <v>361.83</v>
      </c>
      <c r="F471" s="3" t="str">
        <f>_xlfn.XLOOKUP(C471,[1]Mapping!A:A,[1]Mapping!B:B," ")</f>
        <v>RCD</v>
      </c>
    </row>
    <row r="472" spans="1:6" ht="18" x14ac:dyDescent="0.2">
      <c r="A472" s="2">
        <v>45989</v>
      </c>
      <c r="B472" s="2">
        <v>45989</v>
      </c>
      <c r="C472" s="3" t="s">
        <v>284</v>
      </c>
      <c r="D472" s="4">
        <v>-153.28</v>
      </c>
      <c r="E472" s="4">
        <v>208.55</v>
      </c>
      <c r="F472" s="3" t="str">
        <f>_xlfn.XLOOKUP(C472,[1]Mapping!A:A,[1]Mapping!B:B," ")</f>
        <v>Luz</v>
      </c>
    </row>
    <row r="473" spans="1:6" ht="18" x14ac:dyDescent="0.2">
      <c r="A473" s="2">
        <v>45991</v>
      </c>
      <c r="B473" s="2">
        <v>45991</v>
      </c>
      <c r="C473" s="3" t="s">
        <v>42</v>
      </c>
      <c r="D473" s="4">
        <v>45</v>
      </c>
      <c r="E473" s="4">
        <v>253.55</v>
      </c>
      <c r="F473" s="3" t="str">
        <f>_xlfn.XLOOKUP(C473,[1]Mapping!A:A,[1]Mapping!B:B," ")</f>
        <v>5E</v>
      </c>
    </row>
    <row r="474" spans="1:6" ht="18" x14ac:dyDescent="0.2">
      <c r="A474" s="2">
        <v>45992</v>
      </c>
      <c r="B474" s="2">
        <v>45992</v>
      </c>
      <c r="C474" s="3" t="s">
        <v>66</v>
      </c>
      <c r="D474" s="4">
        <v>45</v>
      </c>
      <c r="E474" s="4">
        <v>298.55</v>
      </c>
      <c r="F474" s="3" t="str">
        <f>_xlfn.XLOOKUP(C474,[1]Mapping!A:A,[1]Mapping!B:B," ")</f>
        <v>5D</v>
      </c>
    </row>
    <row r="475" spans="1:6" ht="18" x14ac:dyDescent="0.2">
      <c r="A475" s="2">
        <v>45992</v>
      </c>
      <c r="B475" s="2">
        <v>45992</v>
      </c>
      <c r="C475" s="3" t="s">
        <v>367</v>
      </c>
      <c r="D475" s="4">
        <v>-1</v>
      </c>
      <c r="E475" s="4">
        <v>297.55</v>
      </c>
      <c r="F475" s="3" t="str">
        <f>_xlfn.XLOOKUP(C475,[1]Mapping!A:A,[1]Mapping!B:B," ")</f>
        <v>Gestao Conta</v>
      </c>
    </row>
    <row r="476" spans="1:6" ht="18" x14ac:dyDescent="0.2">
      <c r="A476" s="2">
        <v>45992</v>
      </c>
      <c r="B476" s="2">
        <v>45992</v>
      </c>
      <c r="C476" s="3" t="s">
        <v>368</v>
      </c>
      <c r="D476" s="4">
        <v>-0.04</v>
      </c>
      <c r="E476" s="4">
        <v>297.51</v>
      </c>
      <c r="F476" s="3" t="str">
        <f>_xlfn.XLOOKUP(C476,[1]Mapping!A:A,[1]Mapping!B:B," ")</f>
        <v>Gestao Conta</v>
      </c>
    </row>
    <row r="477" spans="1:6" ht="18" x14ac:dyDescent="0.2">
      <c r="A477" s="2">
        <v>45992</v>
      </c>
      <c r="B477" s="2">
        <v>45992</v>
      </c>
      <c r="C477" s="3" t="s">
        <v>10</v>
      </c>
      <c r="D477" s="4">
        <v>-60</v>
      </c>
      <c r="E477" s="4">
        <v>237.51</v>
      </c>
      <c r="F477" s="3" t="str">
        <f>_xlfn.XLOOKUP(C477,[1]Mapping!A:A,[1]Mapping!B:B," ")</f>
        <v>Conta Poupança</v>
      </c>
    </row>
    <row r="478" spans="1:6" ht="18" x14ac:dyDescent="0.2">
      <c r="A478" s="2">
        <v>45994</v>
      </c>
      <c r="B478" s="2">
        <v>45994</v>
      </c>
      <c r="C478" s="3" t="s">
        <v>12</v>
      </c>
      <c r="D478" s="4">
        <v>45</v>
      </c>
      <c r="E478" s="4">
        <v>282.51</v>
      </c>
      <c r="F478" s="3" t="str">
        <f>_xlfn.XLOOKUP(C478,[1]Mapping!A:A,[1]Mapping!B:B," ")</f>
        <v>3D</v>
      </c>
    </row>
    <row r="479" spans="1:6" ht="18" x14ac:dyDescent="0.2">
      <c r="A479" s="2">
        <v>45324</v>
      </c>
      <c r="B479" s="2">
        <v>45324</v>
      </c>
      <c r="C479" s="3" t="s">
        <v>18</v>
      </c>
      <c r="D479" s="4">
        <v>37.5</v>
      </c>
      <c r="E479" s="4">
        <v>867.56</v>
      </c>
      <c r="F479" s="3" t="str">
        <f>_xlfn.XLOOKUP(C479,[1]Mapping!A:A,[1]Mapping!B:B," ")</f>
        <v>1D</v>
      </c>
    </row>
    <row r="480" spans="1:6" ht="18" x14ac:dyDescent="0.2">
      <c r="A480" s="2">
        <v>45994</v>
      </c>
      <c r="B480" s="2">
        <v>45994</v>
      </c>
      <c r="C480" s="3" t="s">
        <v>160</v>
      </c>
      <c r="D480" s="4">
        <v>45</v>
      </c>
      <c r="E480" s="4">
        <v>372.51</v>
      </c>
      <c r="F480" s="3" t="str">
        <f>_xlfn.XLOOKUP(C480,[1]Mapping!A:A,[1]Mapping!B:B," ")</f>
        <v>4D</v>
      </c>
    </row>
    <row r="481" spans="1:6" ht="18" x14ac:dyDescent="0.2">
      <c r="A481" s="2">
        <v>45995</v>
      </c>
      <c r="B481" s="2">
        <v>45995</v>
      </c>
      <c r="C481" s="3" t="s">
        <v>14</v>
      </c>
      <c r="D481" s="4">
        <v>45</v>
      </c>
      <c r="E481" s="4">
        <v>417.51</v>
      </c>
      <c r="F481" s="3" t="str">
        <f>_xlfn.XLOOKUP(C481,[1]Mapping!A:A,[1]Mapping!B:B," ")</f>
        <v>1E</v>
      </c>
    </row>
    <row r="482" spans="1:6" ht="18" x14ac:dyDescent="0.2">
      <c r="A482" s="2">
        <v>45996</v>
      </c>
      <c r="B482" s="2">
        <v>45996</v>
      </c>
      <c r="C482" s="3" t="s">
        <v>26</v>
      </c>
      <c r="D482" s="4">
        <v>50</v>
      </c>
      <c r="E482" s="4">
        <v>467.51</v>
      </c>
      <c r="F482" s="3" t="str">
        <f>_xlfn.XLOOKUP(C482,[1]Mapping!A:A,[1]Mapping!B:B," ")</f>
        <v>RCE</v>
      </c>
    </row>
    <row r="483" spans="1:6" ht="18" x14ac:dyDescent="0.2">
      <c r="A483" s="2">
        <v>45996</v>
      </c>
      <c r="B483" s="2">
        <v>45996</v>
      </c>
      <c r="C483" s="3" t="s">
        <v>28</v>
      </c>
      <c r="D483" s="4">
        <v>45</v>
      </c>
      <c r="E483" s="4">
        <v>512.51</v>
      </c>
      <c r="F483" s="3" t="str">
        <f>_xlfn.XLOOKUP(C483,[1]Mapping!A:A,[1]Mapping!B:B," ")</f>
        <v>CV</v>
      </c>
    </row>
    <row r="484" spans="1:6" ht="18" x14ac:dyDescent="0.2">
      <c r="A484" s="2">
        <v>45996</v>
      </c>
      <c r="B484" s="2">
        <v>45996</v>
      </c>
      <c r="C484" s="3" t="s">
        <v>77</v>
      </c>
      <c r="D484" s="4">
        <v>45</v>
      </c>
      <c r="E484" s="4">
        <v>557.51</v>
      </c>
      <c r="F484" s="3" t="str">
        <f>_xlfn.XLOOKUP(C484,[1]Mapping!A:A,[1]Mapping!B:B," ")</f>
        <v>2D</v>
      </c>
    </row>
    <row r="485" spans="1:6" ht="18" x14ac:dyDescent="0.2">
      <c r="A485" s="2">
        <v>45997</v>
      </c>
      <c r="B485" s="2">
        <v>45997</v>
      </c>
      <c r="C485" s="3" t="s">
        <v>61</v>
      </c>
      <c r="D485" s="4">
        <v>37.5</v>
      </c>
      <c r="E485" s="4">
        <v>595.01</v>
      </c>
      <c r="F485" s="3" t="str">
        <f>_xlfn.XLOOKUP(C485,[1]Mapping!A:A,[1]Mapping!B:B," ")</f>
        <v>6D</v>
      </c>
    </row>
    <row r="486" spans="1:6" ht="18" x14ac:dyDescent="0.2">
      <c r="A486" s="2">
        <v>46000</v>
      </c>
      <c r="B486" s="2">
        <v>46000</v>
      </c>
      <c r="C486" s="3" t="s">
        <v>32</v>
      </c>
      <c r="D486" s="4">
        <v>45</v>
      </c>
      <c r="E486" s="4">
        <v>640.01</v>
      </c>
      <c r="F486" s="3" t="str">
        <f>_xlfn.XLOOKUP(C486,[1]Mapping!A:A,[1]Mapping!B:B," ")</f>
        <v>4E</v>
      </c>
    </row>
    <row r="487" spans="1:6" ht="18" x14ac:dyDescent="0.2">
      <c r="A487" s="2">
        <v>46002</v>
      </c>
      <c r="B487" s="2">
        <v>46002</v>
      </c>
      <c r="C487" s="3" t="s">
        <v>277</v>
      </c>
      <c r="D487" s="4">
        <v>-110.68</v>
      </c>
      <c r="E487" s="4">
        <v>529.33000000000004</v>
      </c>
      <c r="F487" s="3" t="str">
        <f>_xlfn.XLOOKUP(C487,[1]Mapping!A:A,[1]Mapping!B:B," ")</f>
        <v>Elevadores</v>
      </c>
    </row>
    <row r="488" spans="1:6" ht="18" x14ac:dyDescent="0.2">
      <c r="A488" s="2">
        <v>46005</v>
      </c>
      <c r="B488" s="2">
        <v>46005</v>
      </c>
      <c r="C488" s="3" t="s">
        <v>37</v>
      </c>
      <c r="D488" s="4">
        <v>-9</v>
      </c>
      <c r="E488" s="4">
        <v>520.33000000000004</v>
      </c>
      <c r="F488" s="3" t="str">
        <f>_xlfn.XLOOKUP(C488,[1]Mapping!A:A,[1]Mapping!B:B," ")</f>
        <v>Gestao Conta</v>
      </c>
    </row>
    <row r="489" spans="1:6" ht="18" x14ac:dyDescent="0.2">
      <c r="A489" s="2">
        <v>46005</v>
      </c>
      <c r="B489" s="2">
        <v>46005</v>
      </c>
      <c r="C489" s="3" t="s">
        <v>38</v>
      </c>
      <c r="D489" s="4">
        <v>-0.36</v>
      </c>
      <c r="E489" s="4">
        <v>519.97</v>
      </c>
      <c r="F489" s="3" t="str">
        <f>_xlfn.XLOOKUP(C489,[1]Mapping!A:A,[1]Mapping!B:B," ")</f>
        <v>Gestao Conta</v>
      </c>
    </row>
    <row r="490" spans="1:6" ht="18" x14ac:dyDescent="0.2">
      <c r="A490" s="2">
        <v>46010</v>
      </c>
      <c r="B490" s="2">
        <v>46010</v>
      </c>
      <c r="C490" s="3" t="s">
        <v>168</v>
      </c>
      <c r="D490" s="4">
        <v>45</v>
      </c>
      <c r="E490" s="4">
        <v>564.97</v>
      </c>
      <c r="F490" s="3" t="str">
        <f>_xlfn.XLOOKUP(C490,[1]Mapping!A:A,[1]Mapping!B:B," ")</f>
        <v>6E</v>
      </c>
    </row>
    <row r="491" spans="1:6" ht="18" x14ac:dyDescent="0.2">
      <c r="A491" s="2">
        <v>46014</v>
      </c>
      <c r="B491" s="2">
        <v>46014</v>
      </c>
      <c r="C491" s="3" t="s">
        <v>369</v>
      </c>
      <c r="D491" s="4">
        <v>450</v>
      </c>
      <c r="E491" s="4" t="s">
        <v>370</v>
      </c>
      <c r="F491" s="3" t="str">
        <f>_xlfn.XLOOKUP(C491,[1]Mapping!A:A,[1]Mapping!B:B," ")</f>
        <v>Garagem</v>
      </c>
    </row>
    <row r="492" spans="1:6" ht="18" x14ac:dyDescent="0.2">
      <c r="A492" s="2">
        <v>46020</v>
      </c>
      <c r="B492" s="2">
        <v>46020</v>
      </c>
      <c r="C492" s="3" t="s">
        <v>170</v>
      </c>
      <c r="D492" s="4">
        <v>20</v>
      </c>
      <c r="E492" s="4" t="s">
        <v>371</v>
      </c>
      <c r="F492" s="3" t="str">
        <f>_xlfn.XLOOKUP(C492,[1]Mapping!A:A,[1]Mapping!B:B," ")</f>
        <v>RCD</v>
      </c>
    </row>
    <row r="493" spans="1:6" ht="18" x14ac:dyDescent="0.2">
      <c r="A493" s="2">
        <v>46021</v>
      </c>
      <c r="B493" s="2">
        <v>46021</v>
      </c>
      <c r="C493" s="3" t="s">
        <v>42</v>
      </c>
      <c r="D493" s="4">
        <v>45</v>
      </c>
      <c r="E493" s="4" t="s">
        <v>372</v>
      </c>
      <c r="F493" s="3" t="str">
        <f>_xlfn.XLOOKUP(C493,[1]Mapping!A:A,[1]Mapping!B:B," ")</f>
        <v>5E</v>
      </c>
    </row>
    <row r="494" spans="1:6" ht="18" x14ac:dyDescent="0.2">
      <c r="A494" s="2">
        <v>46021</v>
      </c>
      <c r="B494" s="2">
        <v>46021</v>
      </c>
      <c r="C494" s="3" t="s">
        <v>284</v>
      </c>
      <c r="D494" s="4">
        <v>-151.66999999999999</v>
      </c>
      <c r="E494" s="4">
        <v>928.3</v>
      </c>
      <c r="F494" s="3" t="str">
        <f>_xlfn.XLOOKUP(C494,[1]Mapping!A:A,[1]Mapping!B:B," ")</f>
        <v>Luz</v>
      </c>
    </row>
    <row r="495" spans="1:6" ht="18" x14ac:dyDescent="0.2">
      <c r="A495" s="2">
        <v>46023</v>
      </c>
      <c r="B495" s="2">
        <v>46023</v>
      </c>
      <c r="C495" s="3" t="s">
        <v>66</v>
      </c>
      <c r="D495" s="4">
        <v>45</v>
      </c>
      <c r="E495" s="4">
        <v>973.3</v>
      </c>
      <c r="F495" s="3" t="str">
        <f>_xlfn.XLOOKUP(C495,[1]Mapping!A:A,[1]Mapping!B:B," ")</f>
        <v>5D</v>
      </c>
    </row>
    <row r="496" spans="1:6" ht="18" x14ac:dyDescent="0.2">
      <c r="A496" s="2">
        <v>46023</v>
      </c>
      <c r="B496" s="2">
        <v>46023</v>
      </c>
      <c r="C496" s="3" t="s">
        <v>373</v>
      </c>
      <c r="D496" s="4">
        <v>-1</v>
      </c>
      <c r="E496" s="4">
        <v>972.3</v>
      </c>
      <c r="F496" s="3" t="str">
        <f>_xlfn.XLOOKUP(C496,[1]Mapping!A:A,[1]Mapping!B:B," ")</f>
        <v>Gestao Conta</v>
      </c>
    </row>
    <row r="497" spans="1:6" ht="18" x14ac:dyDescent="0.2">
      <c r="A497" s="2">
        <v>46023</v>
      </c>
      <c r="B497" s="2">
        <v>46023</v>
      </c>
      <c r="C497" s="3" t="s">
        <v>374</v>
      </c>
      <c r="D497" s="4">
        <v>-0.04</v>
      </c>
      <c r="E497" s="4">
        <v>972.26</v>
      </c>
      <c r="F497" s="3" t="str">
        <f>_xlfn.XLOOKUP(C497,[1]Mapping!A:A,[1]Mapping!B:B," ")</f>
        <v>Gestao Conta</v>
      </c>
    </row>
    <row r="498" spans="1:6" ht="18" x14ac:dyDescent="0.2">
      <c r="A498" s="2">
        <v>46023</v>
      </c>
      <c r="B498" s="2">
        <v>46023</v>
      </c>
      <c r="C498" s="3" t="s">
        <v>10</v>
      </c>
      <c r="D498" s="4">
        <v>-60</v>
      </c>
      <c r="E498" s="4">
        <v>912.26</v>
      </c>
      <c r="F498" s="3" t="str">
        <f>_xlfn.XLOOKUP(C498,[1]Mapping!A:A,[1]Mapping!B:B," ")</f>
        <v>Conta Poupança</v>
      </c>
    </row>
    <row r="499" spans="1:6" ht="18" x14ac:dyDescent="0.2">
      <c r="A499" s="2">
        <v>46024</v>
      </c>
      <c r="B499" s="2">
        <v>46024</v>
      </c>
      <c r="C499" s="3" t="s">
        <v>12</v>
      </c>
      <c r="D499" s="4">
        <v>45</v>
      </c>
      <c r="E499" s="4">
        <v>957.26</v>
      </c>
      <c r="F499" s="3" t="str">
        <f>_xlfn.XLOOKUP(C499,[1]Mapping!A:A,[1]Mapping!B:B," ")</f>
        <v>3D</v>
      </c>
    </row>
    <row r="500" spans="1:6" ht="18" x14ac:dyDescent="0.2">
      <c r="A500" s="2">
        <v>46026</v>
      </c>
      <c r="B500" s="2">
        <v>46026</v>
      </c>
      <c r="C500" s="3" t="s">
        <v>178</v>
      </c>
      <c r="D500" s="4">
        <v>40</v>
      </c>
      <c r="E500" s="4">
        <v>997.26</v>
      </c>
      <c r="F500" s="3" t="str">
        <f>_xlfn.XLOOKUP(C500,[1]Mapping!A:A,[1]Mapping!B:B," ")</f>
        <v>3E</v>
      </c>
    </row>
    <row r="501" spans="1:6" ht="18" x14ac:dyDescent="0.2">
      <c r="A501" s="2">
        <v>46027</v>
      </c>
      <c r="B501" s="2">
        <v>46027</v>
      </c>
      <c r="C501" s="3" t="s">
        <v>26</v>
      </c>
      <c r="D501" s="4">
        <v>50</v>
      </c>
      <c r="E501" s="4" t="s">
        <v>375</v>
      </c>
      <c r="F501" s="3" t="str">
        <f>_xlfn.XLOOKUP(C501,[1]Mapping!A:A,[1]Mapping!B:B," ")</f>
        <v>RCE</v>
      </c>
    </row>
    <row r="502" spans="1:6" ht="18" x14ac:dyDescent="0.2">
      <c r="A502" s="2">
        <v>46027</v>
      </c>
      <c r="B502" s="2">
        <v>46027</v>
      </c>
      <c r="C502" s="3" t="s">
        <v>28</v>
      </c>
      <c r="D502" s="4">
        <v>45</v>
      </c>
      <c r="E502" s="4" t="s">
        <v>376</v>
      </c>
      <c r="F502" s="3" t="str">
        <f>_xlfn.XLOOKUP(C502,[1]Mapping!A:A,[1]Mapping!B:B," ")</f>
        <v>CV</v>
      </c>
    </row>
    <row r="503" spans="1:6" ht="18" x14ac:dyDescent="0.2">
      <c r="A503" s="2">
        <v>46027</v>
      </c>
      <c r="B503" s="2">
        <v>46027</v>
      </c>
      <c r="C503" s="3" t="s">
        <v>160</v>
      </c>
      <c r="D503" s="4">
        <v>45</v>
      </c>
      <c r="E503" s="4" t="s">
        <v>377</v>
      </c>
      <c r="F503" s="3" t="str">
        <f>_xlfn.XLOOKUP(C503,[1]Mapping!A:A,[1]Mapping!B:B," ")</f>
        <v>4D</v>
      </c>
    </row>
    <row r="504" spans="1:6" ht="18" x14ac:dyDescent="0.2">
      <c r="A504" s="2">
        <v>45294</v>
      </c>
      <c r="B504" s="2">
        <v>45294</v>
      </c>
      <c r="C504" s="3" t="s">
        <v>18</v>
      </c>
      <c r="D504" s="4">
        <v>37.5</v>
      </c>
      <c r="E504" s="4" t="s">
        <v>378</v>
      </c>
      <c r="F504" s="3" t="str">
        <f>_xlfn.XLOOKUP(C504,[1]Mapping!A:A,[1]Mapping!B:B," ")</f>
        <v>1D</v>
      </c>
    </row>
    <row r="505" spans="1:6" ht="18" x14ac:dyDescent="0.2">
      <c r="A505" s="2">
        <v>46028</v>
      </c>
      <c r="B505" s="2">
        <v>46028</v>
      </c>
      <c r="C505" s="3" t="s">
        <v>77</v>
      </c>
      <c r="D505" s="4">
        <v>45</v>
      </c>
      <c r="E505" s="4" t="s">
        <v>379</v>
      </c>
      <c r="F505" s="3" t="str">
        <f>_xlfn.XLOOKUP(C505,[1]Mapping!A:A,[1]Mapping!B:B," ")</f>
        <v>2D</v>
      </c>
    </row>
    <row r="506" spans="1:6" ht="18" x14ac:dyDescent="0.2">
      <c r="A506" s="2">
        <v>46028</v>
      </c>
      <c r="B506" s="2">
        <v>46028</v>
      </c>
      <c r="C506" s="3" t="s">
        <v>14</v>
      </c>
      <c r="D506" s="4">
        <v>45</v>
      </c>
      <c r="E506" s="4" t="s">
        <v>380</v>
      </c>
      <c r="F506" s="3" t="str">
        <f>_xlfn.XLOOKUP(C506,[1]Mapping!A:A,[1]Mapping!B:B," ")</f>
        <v>1E</v>
      </c>
    </row>
    <row r="507" spans="1:6" ht="18" x14ac:dyDescent="0.2">
      <c r="A507" s="2">
        <v>46030</v>
      </c>
      <c r="B507" s="2">
        <v>46030</v>
      </c>
      <c r="C507" s="3" t="s">
        <v>63</v>
      </c>
      <c r="D507" s="4">
        <v>45</v>
      </c>
      <c r="E507" s="4" t="s">
        <v>381</v>
      </c>
      <c r="F507" s="3" t="str">
        <f>_xlfn.XLOOKUP(C507,[1]Mapping!A:A,[1]Mapping!B:B," ")</f>
        <v>6E</v>
      </c>
    </row>
    <row r="508" spans="1:6" ht="18" x14ac:dyDescent="0.2">
      <c r="A508" s="2">
        <v>46031</v>
      </c>
      <c r="B508" s="2">
        <v>46031</v>
      </c>
      <c r="C508" s="3" t="s">
        <v>32</v>
      </c>
      <c r="D508" s="4">
        <v>45</v>
      </c>
      <c r="E508" s="4" t="s">
        <v>382</v>
      </c>
      <c r="F508" s="3" t="str">
        <f>_xlfn.XLOOKUP(C508,[1]Mapping!A:A,[1]Mapping!B:B," ")</f>
        <v>4E</v>
      </c>
    </row>
    <row r="509" spans="1:6" ht="18" x14ac:dyDescent="0.2">
      <c r="A509" s="2">
        <v>46035</v>
      </c>
      <c r="B509" s="2">
        <v>46035</v>
      </c>
      <c r="C509" s="3" t="s">
        <v>277</v>
      </c>
      <c r="D509" s="4">
        <v>-110.68</v>
      </c>
      <c r="E509" s="4" t="s">
        <v>383</v>
      </c>
      <c r="F509" s="3" t="str">
        <f>_xlfn.XLOOKUP(C509,[1]Mapping!A:A,[1]Mapping!B:B," ")</f>
        <v>Elevadores</v>
      </c>
    </row>
    <row r="510" spans="1:6" ht="18" x14ac:dyDescent="0.2">
      <c r="A510" s="2">
        <v>46036</v>
      </c>
      <c r="B510" s="2">
        <v>46036</v>
      </c>
      <c r="C510" s="3" t="s">
        <v>37</v>
      </c>
      <c r="D510" s="4">
        <v>-9</v>
      </c>
      <c r="E510" s="4" t="s">
        <v>384</v>
      </c>
      <c r="F510" s="3" t="str">
        <f>_xlfn.XLOOKUP(C510,[1]Mapping!A:A,[1]Mapping!B:B," ")</f>
        <v>Gestao Conta</v>
      </c>
    </row>
    <row r="511" spans="1:6" ht="18" x14ac:dyDescent="0.2">
      <c r="A511" s="2">
        <v>46036</v>
      </c>
      <c r="B511" s="2">
        <v>46036</v>
      </c>
      <c r="C511" s="3" t="s">
        <v>38</v>
      </c>
      <c r="D511" s="4">
        <v>-0.36</v>
      </c>
      <c r="E511" s="4" t="s">
        <v>385</v>
      </c>
      <c r="F511" s="3" t="str">
        <f>_xlfn.XLOOKUP(C511,[1]Mapping!A:A,[1]Mapping!B:B," ")</f>
        <v>Gestao Conta</v>
      </c>
    </row>
    <row r="512" spans="1:6" ht="18" x14ac:dyDescent="0.2">
      <c r="A512" s="2">
        <v>46044</v>
      </c>
      <c r="B512" s="2">
        <v>46044</v>
      </c>
      <c r="C512" s="3" t="s">
        <v>20</v>
      </c>
      <c r="D512" s="4">
        <v>-1</v>
      </c>
      <c r="E512" s="4" t="s">
        <v>386</v>
      </c>
      <c r="F512" s="3" t="str">
        <f>_xlfn.XLOOKUP(C512,[1]Mapping!A:A,[1]Mapping!B:B," ")</f>
        <v>Gestao Conta</v>
      </c>
    </row>
    <row r="513" spans="1:6" ht="18" x14ac:dyDescent="0.2">
      <c r="A513" s="2">
        <v>46044</v>
      </c>
      <c r="B513" s="2">
        <v>46044</v>
      </c>
      <c r="C513" s="3" t="s">
        <v>22</v>
      </c>
      <c r="D513" s="4">
        <v>-0.04</v>
      </c>
      <c r="E513" s="4" t="s">
        <v>387</v>
      </c>
      <c r="F513" s="3" t="str">
        <f>_xlfn.XLOOKUP(C513,[1]Mapping!A:A,[1]Mapping!B:B," ")</f>
        <v>Gestao Conta</v>
      </c>
    </row>
    <row r="514" spans="1:6" ht="18" x14ac:dyDescent="0.2">
      <c r="A514" s="2">
        <v>46044</v>
      </c>
      <c r="B514" s="2">
        <v>46044</v>
      </c>
      <c r="C514" s="3" t="s">
        <v>20</v>
      </c>
      <c r="D514" s="4">
        <v>-1</v>
      </c>
      <c r="E514" s="4" t="s">
        <v>388</v>
      </c>
      <c r="F514" s="3" t="str">
        <f>_xlfn.XLOOKUP(C514,[1]Mapping!A:A,[1]Mapping!B:B," ")</f>
        <v>Gestao Conta</v>
      </c>
    </row>
    <row r="515" spans="1:6" ht="18" x14ac:dyDescent="0.2">
      <c r="A515" s="2">
        <v>46044</v>
      </c>
      <c r="B515" s="2">
        <v>46044</v>
      </c>
      <c r="C515" s="3" t="s">
        <v>22</v>
      </c>
      <c r="D515" s="4">
        <v>-0.04</v>
      </c>
      <c r="E515" s="4" t="s">
        <v>389</v>
      </c>
      <c r="F515" s="3" t="str">
        <f>_xlfn.XLOOKUP(C515,[1]Mapping!A:A,[1]Mapping!B:B," ")</f>
        <v>Gestao Conta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Rui</dc:creator>
  <cp:lastModifiedBy>Pereira, Rui</cp:lastModifiedBy>
  <dcterms:created xsi:type="dcterms:W3CDTF">2026-01-24T17:50:35Z</dcterms:created>
  <dcterms:modified xsi:type="dcterms:W3CDTF">2026-01-24T17:50:55Z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2026-01-24T17:50:42Z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38735414-b3cc-42fe-bed2-908ba54a45d7</vt:lpwstr>
  </property>
  <property fmtid="{D5CDD505-2E9C-101B-9397-08002B2CF9AE}" pid="8" name="MSIP_Label_36791f77-3d39-4d72-9277-ac879ec799ed_ContentBits">
    <vt:lpwstr>0</vt:lpwstr>
  </property>
  <property fmtid="{D5CDD505-2E9C-101B-9397-08002B2CF9AE}" pid="9" name="MSIP_Label_36791f77-3d39-4d72-9277-ac879ec799ed_Tag">
    <vt:lpwstr>50, 3, 0, 1</vt:lpwstr>
  </property>
</Properties>
</file>